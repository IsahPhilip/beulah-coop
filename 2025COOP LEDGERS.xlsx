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31e6edddfb6b48/BEULAH COOPERATIVE/2025/"/>
    </mc:Choice>
  </mc:AlternateContent>
  <xr:revisionPtr revIDLastSave="1557" documentId="8_{8E59D7D4-AE89-43AC-A1FE-447CFBCF68BB}" xr6:coauthVersionLast="47" xr6:coauthVersionMax="47" xr10:uidLastSave="{C42D8F4E-BC0D-45C2-904A-49B071BD8562}"/>
  <bookViews>
    <workbookView xWindow="-120" yWindow="-120" windowWidth="20730" windowHeight="11160" xr2:uid="{AEEEE6D2-76A9-4181-B0A3-2AC898AB8EC9}"/>
  </bookViews>
  <sheets>
    <sheet name="SUMMARY" sheetId="31" r:id="rId1"/>
    <sheet name="NO 1" sheetId="1" r:id="rId2"/>
    <sheet name="NO 2" sheetId="2" r:id="rId3"/>
    <sheet name="No 3" sheetId="3" r:id="rId4"/>
    <sheet name="No 4" sheetId="4" r:id="rId5"/>
    <sheet name="NO 5" sheetId="5" r:id="rId6"/>
    <sheet name="NO 6" sheetId="6" r:id="rId7"/>
    <sheet name="NO 7" sheetId="7" r:id="rId8"/>
    <sheet name="NO 8" sheetId="8" r:id="rId9"/>
    <sheet name="NO 9" sheetId="32" r:id="rId10"/>
    <sheet name="NO 10" sheetId="9" r:id="rId11"/>
    <sheet name="NO 11" sheetId="10" r:id="rId12"/>
    <sheet name="NO 12" sheetId="11" r:id="rId13"/>
    <sheet name="NO 13" sheetId="12" r:id="rId14"/>
    <sheet name="NO 14" sheetId="13" r:id="rId15"/>
    <sheet name="NO 15" sheetId="14" r:id="rId16"/>
    <sheet name="NO 16" sheetId="15" r:id="rId17"/>
    <sheet name="NO 17" sheetId="16" r:id="rId18"/>
    <sheet name="NO 18" sheetId="17" r:id="rId19"/>
    <sheet name="NO 19" sheetId="18" r:id="rId20"/>
    <sheet name="NO 20" sheetId="19" r:id="rId21"/>
    <sheet name="NO 21" sheetId="20" r:id="rId22"/>
    <sheet name="NO 22" sheetId="21" r:id="rId23"/>
    <sheet name="NO 23" sheetId="22" r:id="rId24"/>
    <sheet name="NO 24" sheetId="23" r:id="rId25"/>
    <sheet name="NO 25" sheetId="24" r:id="rId26"/>
    <sheet name="NO 26" sheetId="25" r:id="rId27"/>
    <sheet name="NO 27" sheetId="26" r:id="rId28"/>
    <sheet name="NO 28" sheetId="27" r:id="rId29"/>
    <sheet name="NO 29" sheetId="33" r:id="rId30"/>
    <sheet name="NO 30" sheetId="34" r:id="rId31"/>
    <sheet name="NO 31" sheetId="35" r:id="rId32"/>
    <sheet name="NO 32" sheetId="28" r:id="rId33"/>
    <sheet name="NO 33" sheetId="29" r:id="rId34"/>
    <sheet name="NO 34" sheetId="30" r:id="rId35"/>
    <sheet name="NO 35" sheetId="36" r:id="rId36"/>
    <sheet name="NO 36" sheetId="37" r:id="rId37"/>
    <sheet name="NO 37" sheetId="38" r:id="rId38"/>
    <sheet name="NO 38" sheetId="39" r:id="rId39"/>
    <sheet name="NO 39" sheetId="40" r:id="rId40"/>
    <sheet name="NO 40" sheetId="41" r:id="rId41"/>
    <sheet name="NO 41" sheetId="42" r:id="rId42"/>
    <sheet name="NO 42" sheetId="43" r:id="rId43"/>
    <sheet name="NO 43" sheetId="44" r:id="rId44"/>
    <sheet name="NO 44" sheetId="45" r:id="rId45"/>
    <sheet name="NO 45" sheetId="46" r:id="rId46"/>
    <sheet name="NO 46" sheetId="47" r:id="rId47"/>
    <sheet name="NO 47" sheetId="48" r:id="rId48"/>
    <sheet name="NO 48" sheetId="49" r:id="rId49"/>
    <sheet name="NO 49" sheetId="50" r:id="rId50"/>
    <sheet name="NO 50" sheetId="51" r:id="rId51"/>
    <sheet name="NO 51" sheetId="52" r:id="rId52"/>
    <sheet name="NO 52" sheetId="53" r:id="rId53"/>
    <sheet name="NO 53" sheetId="54" r:id="rId54"/>
    <sheet name="NO 54" sheetId="55" r:id="rId55"/>
    <sheet name="NO 55" sheetId="56" r:id="rId56"/>
    <sheet name="NO 56" sheetId="57" r:id="rId57"/>
    <sheet name="NO 57" sheetId="58" r:id="rId58"/>
    <sheet name="NO 58" sheetId="59" r:id="rId59"/>
    <sheet name="NO 59" sheetId="61" r:id="rId60"/>
    <sheet name="NO 60" sheetId="60" r:id="rId61"/>
    <sheet name="NO 61" sheetId="64" r:id="rId62"/>
    <sheet name="NO 62" sheetId="65" r:id="rId63"/>
    <sheet name="NO 63" sheetId="66" r:id="rId64"/>
    <sheet name="NO 64" sheetId="67" r:id="rId65"/>
    <sheet name="NO 65" sheetId="68" r:id="rId66"/>
    <sheet name="NO 66" sheetId="69" r:id="rId67"/>
    <sheet name="NO 67" sheetId="70" r:id="rId68"/>
    <sheet name="NO 68" sheetId="71" r:id="rId69"/>
    <sheet name="NO 69" sheetId="72" r:id="rId70"/>
    <sheet name="NO 70" sheetId="73" r:id="rId71"/>
    <sheet name="NO 71" sheetId="74" r:id="rId72"/>
    <sheet name="NO 72" sheetId="75" r:id="rId73"/>
    <sheet name="NO 73" sheetId="76" r:id="rId74"/>
    <sheet name="NO 74" sheetId="77" r:id="rId75"/>
    <sheet name="NO 75" sheetId="78" r:id="rId76"/>
    <sheet name="NO 76" sheetId="79" r:id="rId77"/>
    <sheet name="NO 77" sheetId="80" r:id="rId78"/>
    <sheet name="NO 78" sheetId="81" r:id="rId79"/>
    <sheet name="NO 79" sheetId="82" r:id="rId80"/>
    <sheet name="NO 80" sheetId="83" r:id="rId81"/>
  </sheets>
  <definedNames>
    <definedName name="Elder_A.E._Obakpe">'NO 7'!$B$3</definedName>
    <definedName name="Obakpe">'NO 7'!$A$3:$J$4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31" l="1"/>
  <c r="G65" i="31"/>
  <c r="G64" i="31"/>
  <c r="G59" i="31"/>
  <c r="G58" i="31"/>
  <c r="G56" i="31"/>
  <c r="G54" i="31"/>
  <c r="G50" i="31"/>
  <c r="G49" i="31"/>
  <c r="G48" i="31"/>
  <c r="G46" i="31"/>
  <c r="H44" i="31"/>
  <c r="G8" i="41"/>
  <c r="G43" i="31"/>
  <c r="H42" i="31"/>
  <c r="G8" i="39"/>
  <c r="G41" i="31"/>
  <c r="H39" i="31"/>
  <c r="G9" i="36"/>
  <c r="G8" i="36"/>
  <c r="G38" i="31"/>
  <c r="G37" i="31"/>
  <c r="H36" i="31"/>
  <c r="G8" i="28"/>
  <c r="G35" i="31"/>
  <c r="G34" i="31"/>
  <c r="G32" i="31"/>
  <c r="G31" i="31"/>
  <c r="G29" i="31"/>
  <c r="G28" i="31"/>
  <c r="G27" i="31"/>
  <c r="G26" i="31"/>
  <c r="G24" i="31"/>
  <c r="G23" i="31"/>
  <c r="G22" i="31"/>
  <c r="I22" i="31"/>
  <c r="I88" i="31" s="1"/>
  <c r="H22" i="31"/>
  <c r="G21" i="31"/>
  <c r="H20" i="31"/>
  <c r="G18" i="31"/>
  <c r="H17" i="31"/>
  <c r="G8" i="12"/>
  <c r="H16" i="31"/>
  <c r="G8" i="11"/>
  <c r="G15" i="31"/>
  <c r="G14" i="31"/>
  <c r="H13" i="31"/>
  <c r="G8" i="32"/>
  <c r="G12" i="31"/>
  <c r="H11" i="31"/>
  <c r="G8" i="7"/>
  <c r="H9" i="31"/>
  <c r="G8" i="5"/>
  <c r="H8" i="31"/>
  <c r="H88" i="31" s="1"/>
  <c r="G8" i="4"/>
  <c r="G7" i="31"/>
  <c r="G6" i="31"/>
  <c r="G5" i="31"/>
  <c r="G88" i="31" s="1"/>
  <c r="G9" i="15"/>
  <c r="G10" i="15" s="1"/>
  <c r="D9" i="64"/>
  <c r="D9" i="65"/>
  <c r="D8" i="65"/>
  <c r="D8" i="30"/>
  <c r="D11" i="56"/>
  <c r="D11" i="55"/>
  <c r="D8" i="64"/>
  <c r="G10" i="17"/>
  <c r="J10" i="17"/>
  <c r="D8" i="60"/>
  <c r="D9" i="16"/>
  <c r="D10" i="56"/>
  <c r="D10" i="55"/>
  <c r="G15" i="9"/>
  <c r="C15" i="9"/>
  <c r="H15" i="9"/>
  <c r="D9" i="2"/>
  <c r="D10" i="2"/>
  <c r="D9" i="56"/>
  <c r="G14" i="9"/>
  <c r="J14" i="9"/>
  <c r="J13" i="9"/>
  <c r="G13" i="9"/>
  <c r="D9" i="53"/>
  <c r="G12" i="9"/>
  <c r="G11" i="9"/>
  <c r="J11" i="9"/>
  <c r="J10" i="9"/>
  <c r="G10" i="9"/>
  <c r="J9" i="17"/>
  <c r="G9" i="17"/>
  <c r="D9" i="51"/>
  <c r="D9" i="47"/>
  <c r="D10" i="47" s="1"/>
  <c r="D11" i="47" s="1"/>
  <c r="D12" i="47" s="1"/>
  <c r="D13" i="47" s="1"/>
  <c r="D9" i="38"/>
  <c r="D9" i="23"/>
  <c r="D9" i="22"/>
  <c r="D9" i="19"/>
  <c r="D10" i="19" s="1"/>
  <c r="D11" i="19" s="1"/>
  <c r="D9" i="18"/>
  <c r="D9" i="9"/>
  <c r="D12" i="9" s="1"/>
  <c r="D15" i="9" s="1"/>
  <c r="D16" i="9" s="1"/>
  <c r="D9" i="3"/>
  <c r="D10" i="3" s="1"/>
  <c r="D11" i="3" s="1"/>
  <c r="E30" i="2"/>
  <c r="F30" i="2"/>
  <c r="G30" i="2"/>
  <c r="H30" i="2"/>
  <c r="I30" i="2"/>
  <c r="J30" i="2"/>
  <c r="J22" i="15"/>
  <c r="G22" i="15"/>
  <c r="D22" i="15"/>
  <c r="D9" i="35"/>
  <c r="D10" i="35" s="1"/>
  <c r="D9" i="8"/>
  <c r="D10" i="8" s="1"/>
  <c r="D1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Adewale Adeagbo</author>
  </authors>
  <commentList>
    <comment ref="C12" authorId="0" shapeId="0" xr:uid="{347686E1-E274-4060-9F54-0C04574B2372}">
      <text>
        <r>
          <rPr>
            <b/>
            <sz val="9"/>
            <color indexed="81"/>
            <rFont val="Tahoma"/>
            <family val="2"/>
          </rPr>
          <t>Adewale Adeagbo:</t>
        </r>
        <r>
          <rPr>
            <sz val="9"/>
            <color indexed="81"/>
            <rFont val="Tahoma"/>
            <family val="2"/>
          </rPr>
          <t xml:space="preserve">
Paid N300,000 on 15/07/25
i. Balanced the loan - 107,500
ii. Credited 192,500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Adewale Adeagbo</author>
  </authors>
  <commentList>
    <comment ref="C9" authorId="0" shapeId="0" xr:uid="{AEA9D37D-A322-44E7-8FE4-16228C5D2901}">
      <text>
        <r>
          <rPr>
            <b/>
            <sz val="9"/>
            <color indexed="81"/>
            <rFont val="Tahoma"/>
            <family val="2"/>
          </rPr>
          <t>Adewale Adeagbo:</t>
        </r>
        <r>
          <rPr>
            <sz val="9"/>
            <color indexed="81"/>
            <rFont val="Tahoma"/>
            <family val="2"/>
          </rPr>
          <t xml:space="preserve">
N5,000 paid:
N2,000 for registration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Adewale Adeagbo</author>
  </authors>
  <commentList>
    <comment ref="C5" authorId="0" shapeId="0" xr:uid="{56B52B67-1D60-4C37-A2C8-156070EA2558}">
      <text>
        <r>
          <rPr>
            <b/>
            <sz val="9"/>
            <color indexed="81"/>
            <rFont val="Tahoma"/>
            <family val="2"/>
          </rPr>
          <t>Adewale Adeagbo:</t>
        </r>
        <r>
          <rPr>
            <sz val="9"/>
            <color indexed="81"/>
            <rFont val="Tahoma"/>
            <family val="2"/>
          </rPr>
          <t xml:space="preserve">
26.04.26 N10,000 paid
2k for registration and 8k for savings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Adewale Adeagbo</author>
  </authors>
  <commentList>
    <comment ref="C5" authorId="0" shapeId="0" xr:uid="{882BCFA7-D923-4496-9A36-61A2429C4E22}">
      <text>
        <r>
          <rPr>
            <b/>
            <sz val="9"/>
            <color indexed="81"/>
            <rFont val="Tahoma"/>
            <family val="2"/>
          </rPr>
          <t>Adewale Adeagbo:</t>
        </r>
        <r>
          <rPr>
            <sz val="9"/>
            <color indexed="81"/>
            <rFont val="Tahoma"/>
            <family val="2"/>
          </rPr>
          <t xml:space="preserve">
Paid 5k on 4/05/26
2k for reg
3k for savings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Adewale Adeagbo</author>
  </authors>
  <commentList>
    <comment ref="C5" authorId="0" shapeId="0" xr:uid="{88AED025-BC86-4378-A18C-692079EC353D}">
      <text>
        <r>
          <rPr>
            <b/>
            <sz val="9"/>
            <color indexed="81"/>
            <rFont val="Tahoma"/>
            <family val="2"/>
          </rPr>
          <t>Adewale Adeagbo:</t>
        </r>
        <r>
          <rPr>
            <sz val="9"/>
            <color indexed="81"/>
            <rFont val="Tahoma"/>
            <family val="2"/>
          </rPr>
          <t xml:space="preserve">
Paid 10k on 4/5/26
2k for reg
8k for savings</t>
        </r>
      </text>
    </comment>
  </commentList>
</comments>
</file>

<file path=xl/sharedStrings.xml><?xml version="1.0" encoding="utf-8"?>
<sst xmlns="http://schemas.openxmlformats.org/spreadsheetml/2006/main" count="1708" uniqueCount="178">
  <si>
    <t>BEULAH MULTI-PURPOSE COOP SOCIETY LTD</t>
  </si>
  <si>
    <t>MEMBER'S PASSBOOK LEDGER AS AT DATE</t>
  </si>
  <si>
    <t>NAME</t>
  </si>
  <si>
    <t>PHONE NUMBER</t>
  </si>
  <si>
    <t>DATE</t>
  </si>
  <si>
    <t>SAVINGS</t>
  </si>
  <si>
    <t>DR</t>
  </si>
  <si>
    <t>CR</t>
  </si>
  <si>
    <t>BALANCE</t>
  </si>
  <si>
    <t>LOANS</t>
  </si>
  <si>
    <t>LOANS INTEREST</t>
  </si>
  <si>
    <t>BEULAH MULTI-PURPOSE COOPERATIVE SOCIETY LTD.</t>
  </si>
  <si>
    <t>NAMES</t>
  </si>
  <si>
    <t>Entrance fee</t>
  </si>
  <si>
    <t>Elder S.B. Ibikunle</t>
  </si>
  <si>
    <t>Elder A.E. Obakpe</t>
  </si>
  <si>
    <t>Eld J. I. Evbotokhai</t>
  </si>
  <si>
    <t>Eld P. Olabintan</t>
  </si>
  <si>
    <t>Eld A.S. Oyemayo</t>
  </si>
  <si>
    <t>Dcn Philip Dauda</t>
  </si>
  <si>
    <t>Dns J.B. Odeyemi</t>
  </si>
  <si>
    <t>Dcn Jeremiah Dauda</t>
  </si>
  <si>
    <t>Dns E.O. Leramo</t>
  </si>
  <si>
    <t>Eld. Ibikunle Samson</t>
  </si>
  <si>
    <t>Dns. V.Y. Olutola</t>
  </si>
  <si>
    <t>Dns. A.M. Adeagbo</t>
  </si>
  <si>
    <t>Dns. R.O. Ojo</t>
  </si>
  <si>
    <t>Eld. V.O. Ogegengbe</t>
  </si>
  <si>
    <t>Dns. O.O. Evbotokhai</t>
  </si>
  <si>
    <t>Dns. M.B. Adeleye</t>
  </si>
  <si>
    <t>Eld. J.I. Evbotokhai</t>
  </si>
  <si>
    <t xml:space="preserve">Dns. Dauda Luke S. </t>
  </si>
  <si>
    <t>Dns. F.F. Ayeni</t>
  </si>
  <si>
    <t>Eld. P.O. Olabintan</t>
  </si>
  <si>
    <t>Dcn. Dauda Philip</t>
  </si>
  <si>
    <t>Bro. Mathew Alaba</t>
  </si>
  <si>
    <t>Sis. Obake Phoebe</t>
  </si>
  <si>
    <t>Eld. J.O. Adeleye</t>
  </si>
  <si>
    <t>Bro. M.O. Eniwaye</t>
  </si>
  <si>
    <t>Dcn. U.O. Uwem</t>
  </si>
  <si>
    <t>Sis. G.R. Balogun</t>
  </si>
  <si>
    <t>Eld. P.O. Ogunseye</t>
  </si>
  <si>
    <t>Bro. Balogun Samuel</t>
  </si>
  <si>
    <t>Dns. F.M. Olabintan</t>
  </si>
  <si>
    <t>Dns. O.O. Ogedengbe</t>
  </si>
  <si>
    <t>Sis. Matthew O. Blessing</t>
  </si>
  <si>
    <t>Bro. J.I. Adeleye</t>
  </si>
  <si>
    <t>Dns. B.H. Oyemayo</t>
  </si>
  <si>
    <t>Eld. M.A. Adeagbo</t>
  </si>
  <si>
    <t>Bro. Samuel David Ukoidem</t>
  </si>
  <si>
    <t>Bro. Alfred Victor</t>
  </si>
  <si>
    <t>O/S P.O. Odeyemi</t>
  </si>
  <si>
    <t>Bro David David Ukoidem</t>
  </si>
  <si>
    <t>Sis. Ogedengbe Eyitayo Deborah</t>
  </si>
  <si>
    <t>Bro. Panmoh Isaiah</t>
  </si>
  <si>
    <t>S/N</t>
  </si>
  <si>
    <t>Eld. G. E. Leramo</t>
  </si>
  <si>
    <t>Eld. S. A. Oyemayo</t>
  </si>
  <si>
    <t>TOTAL</t>
  </si>
  <si>
    <t>COOP NO</t>
  </si>
  <si>
    <t>BC01</t>
  </si>
  <si>
    <t>BC02</t>
  </si>
  <si>
    <t>BC03</t>
  </si>
  <si>
    <t>Eld. Luke Dauda</t>
  </si>
  <si>
    <t>Eld. S.K. Ogunjimi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</si>
  <si>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</si>
  <si>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</si>
  <si>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</si>
  <si>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</si>
  <si>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</si>
  <si>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</si>
  <si>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</si>
  <si>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</si>
  <si>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</si>
  <si>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</si>
  <si>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</si>
  <si>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</si>
  <si>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</si>
  <si>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</si>
  <si>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</si>
  <si>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</si>
  <si>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</si>
  <si>
    <t>BC21</t>
  </si>
  <si>
    <t>BC22</t>
  </si>
  <si>
    <t>BC23</t>
  </si>
  <si>
    <t>BC24</t>
  </si>
  <si>
    <t>BC25</t>
  </si>
  <si>
    <t>BC26</t>
  </si>
  <si>
    <t>BC27</t>
  </si>
  <si>
    <t>BC28</t>
  </si>
  <si>
    <t>BC29</t>
  </si>
  <si>
    <t>BC30</t>
  </si>
  <si>
    <t>BC31</t>
  </si>
  <si>
    <t>BC32</t>
  </si>
  <si>
    <t>BC33</t>
  </si>
  <si>
    <t>BC34</t>
  </si>
  <si>
    <t>BC35</t>
  </si>
  <si>
    <t>BC36</t>
  </si>
  <si>
    <t>BC37</t>
  </si>
  <si>
    <t>BC38</t>
  </si>
  <si>
    <t>BC39</t>
  </si>
  <si>
    <t>BC40</t>
  </si>
  <si>
    <t>BC41</t>
  </si>
  <si>
    <t>Bro Sunday Olaitan Tope</t>
  </si>
  <si>
    <t>BC42</t>
  </si>
  <si>
    <t>Dcns Olaniawo</t>
  </si>
  <si>
    <t>Dns Balogun Blessing I.</t>
  </si>
  <si>
    <t>Sis Alfred Rachel</t>
  </si>
  <si>
    <t>BC43</t>
  </si>
  <si>
    <t>BC44</t>
  </si>
  <si>
    <t>BC45</t>
  </si>
  <si>
    <t>Sis. M.O. Eniwaye</t>
  </si>
  <si>
    <t>Sis. Tosin Matthew</t>
  </si>
  <si>
    <t>Sis. Taiwo Ibikunle</t>
  </si>
  <si>
    <t>O/S Ayodele</t>
  </si>
  <si>
    <t>Dcns A.O. Peter</t>
  </si>
  <si>
    <t>Dns Grace Ukpong</t>
  </si>
  <si>
    <t>Dns H.B. Ibikunle</t>
  </si>
  <si>
    <t>BC46</t>
  </si>
  <si>
    <t>BC47</t>
  </si>
  <si>
    <t>BC48</t>
  </si>
  <si>
    <t>BC49</t>
  </si>
  <si>
    <t>BC50</t>
  </si>
  <si>
    <t>BC51</t>
  </si>
  <si>
    <t>ELD S.K. Ogunjimi</t>
  </si>
  <si>
    <t>Dcns E.O. Leramo</t>
  </si>
  <si>
    <t>SHARES</t>
  </si>
  <si>
    <t>BC52</t>
  </si>
  <si>
    <t>SPECIAL SAVINGS</t>
  </si>
  <si>
    <t>Bro. Isreal Olutola</t>
  </si>
  <si>
    <t>BC53</t>
  </si>
  <si>
    <t>Bro. Israel Olutola</t>
  </si>
  <si>
    <t>Bro. Daniel Leramo</t>
  </si>
  <si>
    <t>BC54</t>
  </si>
  <si>
    <t>BC55</t>
  </si>
  <si>
    <t>Sis. Deborah Leramo</t>
  </si>
  <si>
    <t>Bro Adeagbo Adeyemi</t>
  </si>
  <si>
    <t>Bro Adeagbo Ademola</t>
  </si>
  <si>
    <t>Bro Adeagbo Adebayo</t>
  </si>
  <si>
    <t>Bro Adeagbo Aderola</t>
  </si>
  <si>
    <t>BC56</t>
  </si>
  <si>
    <t>BC57</t>
  </si>
  <si>
    <t>BC58</t>
  </si>
  <si>
    <t>BC59</t>
  </si>
  <si>
    <t>Bro. Adeagbo Adeyemi</t>
  </si>
  <si>
    <t>Bro. Adeagbo Ademola</t>
  </si>
  <si>
    <t>Bro. Adeagbo Adebayo</t>
  </si>
  <si>
    <t>Bro. Adeagbo Aderola</t>
  </si>
  <si>
    <t>BC60</t>
  </si>
  <si>
    <t>Sis. Janet Pashemibo Mark</t>
  </si>
  <si>
    <t>BC61</t>
  </si>
  <si>
    <t>BC62</t>
  </si>
  <si>
    <t>BC63</t>
  </si>
  <si>
    <t>BC64</t>
  </si>
  <si>
    <t>BC65</t>
  </si>
  <si>
    <t>BC66</t>
  </si>
  <si>
    <t>BC67</t>
  </si>
  <si>
    <t>BC68</t>
  </si>
  <si>
    <t>BC69</t>
  </si>
  <si>
    <t>BC70</t>
  </si>
  <si>
    <t>BC71</t>
  </si>
  <si>
    <t>BC72</t>
  </si>
  <si>
    <t>BC73</t>
  </si>
  <si>
    <t>BC74</t>
  </si>
  <si>
    <t>BC75</t>
  </si>
  <si>
    <t>BC76</t>
  </si>
  <si>
    <t>BC77</t>
  </si>
  <si>
    <t>BC78</t>
  </si>
  <si>
    <t>BC79</t>
  </si>
  <si>
    <t>BC80</t>
  </si>
  <si>
    <t>Mary Awetalumilo Mark</t>
  </si>
  <si>
    <t>Sis. Mary Awetalumilo Mark</t>
  </si>
  <si>
    <t>Sis. Mary Odeyemi</t>
  </si>
  <si>
    <t>Sis. Esther Fayinnya Mark</t>
  </si>
  <si>
    <t>SAVINGS BALANCE</t>
  </si>
  <si>
    <t>LOANS BALANCE</t>
  </si>
  <si>
    <t>LOAN INT. BALANCE</t>
  </si>
  <si>
    <t>DETAILS AS AT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</si>
</sst>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164" fontId="1" fillId="0" borderId="0" xfId="1" applyFont="1"/>
    <xf numFmtId="164" fontId="0" fillId="0" borderId="0" xfId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1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7" fontId="0" fillId="0" borderId="0" xfId="1" applyNumberFormat="1" applyFont="1"/>
    <xf numFmtId="0" fontId="0" fillId="0" borderId="0" xfId="0" applyAlignment="1">
      <alignment horizontal="center"/>
    </xf>
    <xf numFmtId="164" fontId="4" fillId="0" borderId="0" xfId="1" applyFont="1"/>
    <xf numFmtId="0" fontId="5" fillId="0" borderId="0" xfId="2"/>
    <xf numFmtId="0" fontId="5" fillId="0" borderId="0" xfId="2" applyFill="1"/>
    <xf numFmtId="164" fontId="5" fillId="0" borderId="0" xfId="2" applyNumberFormat="1"/>
    <xf numFmtId="0" fontId="4" fillId="0" borderId="0" xfId="0" applyFont="1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wrapText="1"/>
    </xf>
    <xf numFmtId="164" fontId="6" fillId="0" borderId="0" xfId="1" applyFont="1"/>
    <xf numFmtId="164" fontId="0" fillId="0" borderId="0" xfId="1" applyFont="1" applyAlignment="1">
      <alignment horizontal="right" wrapText="1"/>
    </xf>
    <xf numFmtId="164" fontId="2" fillId="0" borderId="1" xfId="1" applyFont="1" applyFill="1" applyBorder="1"/>
    <xf numFmtId="164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471E-4957-4626-B8A8-DD0DE9441C77}">
  <dimension ref="B2:I88"/>
  <sheetViews>
    <sheetView tabSelected="1" workbookViewId="0">
      <selection activeCell="C8" sqref="C8"/>
    </sheetView>
  </sheetViews>
  <sheetFormatPr defaultRowHeight="15" x14ac:dyDescent="0.25"/>
  <cols>
    <col min="2" max="2" width="4.42578125" customWidth="1"/>
    <col min="3" max="3" width="34" customWidth="1"/>
    <col min="4" max="4" width="9.42578125" customWidth="1"/>
    <col min="5" max="5" width="10.28515625" style="5" customWidth="1"/>
    <col min="6" max="6" width="8.5703125" customWidth="1"/>
    <col min="7" max="7" width="13.28515625" bestFit="1" customWidth="1"/>
    <col min="8" max="8" width="14" bestFit="1" customWidth="1"/>
  </cols>
  <sheetData>
    <row r="2" spans="2:9" x14ac:dyDescent="0.25">
      <c r="B2" t="s">
        <v>11</v>
      </c>
    </row>
    <row r="3" spans="2:9" x14ac:dyDescent="0.25">
      <c r="B3" t="s">
        <v>177</v>
      </c>
    </row>
    <row r="4" spans="2:9" ht="45" x14ac:dyDescent="0.25">
      <c r="B4" s="2" t="s">
        <v>55</v>
      </c>
      <c r="C4" t="s">
        <v>12</v>
      </c>
      <c r="D4" t="s">
        <v>59</v>
      </c>
      <c r="E4" s="2" t="s">
        <v>126</v>
      </c>
      <c r="F4" s="25" t="s">
        <v>128</v>
      </c>
      <c r="G4" s="2" t="s">
        <v>174</v>
      </c>
      <c r="H4" s="2" t="s">
        <v>175</v>
      </c>
      <c r="I4" s="2" t="s">
        <v>176</v>
      </c>
    </row>
    <row r="5" spans="2:9" x14ac:dyDescent="0.25">
      <c r="B5" s="20">
        <v>1</v>
      </c>
      <c r="C5" t="s">
        <v>51</v>
      </c>
      <c r="D5" t="s">
        <v>60</v>
      </c>
      <c r="F5" s="5"/>
      <c r="G5" s="5">
        <f>'NO 1'!D8</f>
        <v>6000</v>
      </c>
      <c r="H5" s="5"/>
      <c r="I5" s="5"/>
    </row>
    <row r="6" spans="2:9" x14ac:dyDescent="0.25">
      <c r="B6" s="19">
        <v>2</v>
      </c>
      <c r="C6" t="s">
        <v>27</v>
      </c>
      <c r="D6" t="s">
        <v>61</v>
      </c>
      <c r="F6" s="5"/>
      <c r="G6" s="5">
        <f>'NO 2'!D10</f>
        <v>76025</v>
      </c>
      <c r="H6" s="5"/>
      <c r="I6" s="5"/>
    </row>
    <row r="7" spans="2:9" x14ac:dyDescent="0.25">
      <c r="B7" s="19">
        <v>3</v>
      </c>
      <c r="C7" t="s">
        <v>48</v>
      </c>
      <c r="D7" t="s">
        <v>62</v>
      </c>
      <c r="F7" s="5"/>
      <c r="G7" s="5">
        <f>'No 3'!D11</f>
        <v>155000</v>
      </c>
      <c r="H7" s="5"/>
      <c r="I7" s="5"/>
    </row>
    <row r="8" spans="2:9" x14ac:dyDescent="0.25">
      <c r="B8" s="19">
        <v>4</v>
      </c>
      <c r="C8" t="s">
        <v>64</v>
      </c>
      <c r="D8" t="s">
        <v>65</v>
      </c>
      <c r="F8" s="5"/>
      <c r="G8" s="5"/>
      <c r="H8" s="5">
        <f>'No 4'!G8</f>
        <v>-284255.02</v>
      </c>
      <c r="I8" s="5"/>
    </row>
    <row r="9" spans="2:9" x14ac:dyDescent="0.25">
      <c r="B9" s="19">
        <v>5</v>
      </c>
      <c r="C9" t="s">
        <v>23</v>
      </c>
      <c r="D9" t="s">
        <v>66</v>
      </c>
      <c r="F9" s="5"/>
      <c r="G9" s="5"/>
      <c r="H9" s="5">
        <f>'NO 5'!G8</f>
        <v>-31104.81</v>
      </c>
      <c r="I9" s="5"/>
    </row>
    <row r="10" spans="2:9" x14ac:dyDescent="0.25">
      <c r="B10" s="19">
        <v>6</v>
      </c>
      <c r="C10" s="22" t="s">
        <v>56</v>
      </c>
      <c r="D10" t="s">
        <v>67</v>
      </c>
      <c r="F10" s="5"/>
      <c r="G10" s="5"/>
      <c r="I10" s="5"/>
    </row>
    <row r="11" spans="2:9" x14ac:dyDescent="0.25">
      <c r="B11" s="19">
        <v>7</v>
      </c>
      <c r="C11" s="8" t="s">
        <v>15</v>
      </c>
      <c r="D11" t="s">
        <v>68</v>
      </c>
      <c r="F11" s="5"/>
      <c r="G11" s="5"/>
      <c r="H11" s="5">
        <f>'NO 7'!G8</f>
        <v>-432961.1</v>
      </c>
      <c r="I11" s="5"/>
    </row>
    <row r="12" spans="2:9" x14ac:dyDescent="0.25">
      <c r="B12" s="19">
        <v>8</v>
      </c>
      <c r="C12" t="s">
        <v>37</v>
      </c>
      <c r="D12" t="s">
        <v>69</v>
      </c>
      <c r="F12" s="5"/>
      <c r="G12" s="5">
        <f>'NO 8'!D11</f>
        <v>32913.760000000002</v>
      </c>
      <c r="H12" s="5"/>
      <c r="I12" s="5"/>
    </row>
    <row r="13" spans="2:9" x14ac:dyDescent="0.25">
      <c r="B13" s="19">
        <v>9</v>
      </c>
      <c r="C13" t="s">
        <v>33</v>
      </c>
      <c r="D13" t="s">
        <v>70</v>
      </c>
      <c r="F13" s="5"/>
      <c r="G13" s="5"/>
      <c r="H13" s="5">
        <f>'NO 9'!G8</f>
        <v>-31429.7</v>
      </c>
      <c r="I13" s="5"/>
    </row>
    <row r="14" spans="2:9" x14ac:dyDescent="0.25">
      <c r="B14" s="19">
        <v>10</v>
      </c>
      <c r="C14" t="s">
        <v>30</v>
      </c>
      <c r="D14" t="s">
        <v>71</v>
      </c>
      <c r="F14" s="5"/>
      <c r="G14" s="5">
        <f>'NO 10'!D16</f>
        <v>426000</v>
      </c>
      <c r="H14" s="5"/>
      <c r="I14" s="5"/>
    </row>
    <row r="15" spans="2:9" x14ac:dyDescent="0.25">
      <c r="B15" s="19">
        <v>11</v>
      </c>
      <c r="C15" t="s">
        <v>63</v>
      </c>
      <c r="D15" t="s">
        <v>72</v>
      </c>
      <c r="F15" s="5"/>
      <c r="G15" s="5">
        <f>'NO 11'!D8</f>
        <v>5000</v>
      </c>
      <c r="H15" s="5"/>
      <c r="I15" s="5"/>
    </row>
    <row r="16" spans="2:9" x14ac:dyDescent="0.25">
      <c r="B16" s="19">
        <v>12</v>
      </c>
      <c r="C16" t="s">
        <v>41</v>
      </c>
      <c r="D16" t="s">
        <v>73</v>
      </c>
      <c r="F16" s="5"/>
      <c r="G16" s="5"/>
      <c r="H16" s="5">
        <f>'NO 12'!G8</f>
        <v>-89573.88</v>
      </c>
      <c r="I16" s="5"/>
    </row>
    <row r="17" spans="2:9" x14ac:dyDescent="0.25">
      <c r="B17" s="19">
        <v>13</v>
      </c>
      <c r="C17" t="s">
        <v>57</v>
      </c>
      <c r="D17" t="s">
        <v>74</v>
      </c>
      <c r="F17" s="5"/>
      <c r="G17" s="5"/>
      <c r="H17" s="5">
        <f>'NO 13'!G8</f>
        <v>-420050.29</v>
      </c>
      <c r="I17" s="5"/>
    </row>
    <row r="18" spans="2:9" x14ac:dyDescent="0.25">
      <c r="B18" s="20">
        <v>14</v>
      </c>
      <c r="C18" t="s">
        <v>34</v>
      </c>
      <c r="D18" t="s">
        <v>75</v>
      </c>
      <c r="E18" s="18"/>
      <c r="F18" s="5"/>
      <c r="G18" s="5">
        <f>'NO 14'!D8</f>
        <v>33500</v>
      </c>
      <c r="H18" s="5"/>
      <c r="I18" s="5"/>
    </row>
    <row r="19" spans="2:9" x14ac:dyDescent="0.25">
      <c r="B19" s="19">
        <v>15</v>
      </c>
      <c r="C19" s="22" t="s">
        <v>21</v>
      </c>
      <c r="D19" t="s">
        <v>76</v>
      </c>
      <c r="F19" s="5"/>
      <c r="G19" s="5"/>
      <c r="H19" s="5"/>
      <c r="I19" s="5"/>
    </row>
    <row r="20" spans="2:9" x14ac:dyDescent="0.25">
      <c r="B20" s="19">
        <v>16</v>
      </c>
      <c r="C20" t="s">
        <v>39</v>
      </c>
      <c r="D20" t="s">
        <v>77</v>
      </c>
      <c r="F20" s="5"/>
      <c r="G20" s="5"/>
      <c r="H20" s="5">
        <f>'NO 16'!G10</f>
        <v>-923243.32</v>
      </c>
      <c r="I20" s="5"/>
    </row>
    <row r="21" spans="2:9" x14ac:dyDescent="0.25">
      <c r="B21" s="19">
        <v>17</v>
      </c>
      <c r="C21" t="s">
        <v>20</v>
      </c>
      <c r="D21" t="s">
        <v>78</v>
      </c>
      <c r="F21" s="5"/>
      <c r="G21" s="5">
        <f>+'NO 17'!D9</f>
        <v>643500</v>
      </c>
      <c r="H21" s="5"/>
      <c r="I21" s="5"/>
    </row>
    <row r="22" spans="2:9" x14ac:dyDescent="0.25">
      <c r="B22" s="19">
        <v>18</v>
      </c>
      <c r="C22" t="s">
        <v>24</v>
      </c>
      <c r="D22" t="s">
        <v>79</v>
      </c>
      <c r="F22" s="5"/>
      <c r="G22" s="5">
        <f>'NO 18'!D8</f>
        <v>312750</v>
      </c>
      <c r="H22" s="5">
        <f>'NO 18'!G10</f>
        <v>425000</v>
      </c>
      <c r="I22" s="5">
        <f>'NO 18'!J10</f>
        <v>0</v>
      </c>
    </row>
    <row r="23" spans="2:9" x14ac:dyDescent="0.25">
      <c r="B23" s="19">
        <v>19</v>
      </c>
      <c r="C23" s="22" t="s">
        <v>32</v>
      </c>
      <c r="D23" t="s">
        <v>80</v>
      </c>
      <c r="F23" s="5"/>
      <c r="G23" s="5">
        <f>'NO 19'!D9</f>
        <v>3000</v>
      </c>
      <c r="H23" s="5"/>
      <c r="I23" s="5"/>
    </row>
    <row r="24" spans="2:9" x14ac:dyDescent="0.25">
      <c r="B24" s="19">
        <v>20</v>
      </c>
      <c r="C24" t="s">
        <v>22</v>
      </c>
      <c r="D24" t="s">
        <v>81</v>
      </c>
      <c r="F24" s="5"/>
      <c r="G24" s="5">
        <f>'NO 20'!D11</f>
        <v>128500</v>
      </c>
      <c r="H24" s="5"/>
      <c r="I24" s="5"/>
    </row>
    <row r="25" spans="2:9" x14ac:dyDescent="0.25">
      <c r="B25" s="19">
        <v>21</v>
      </c>
      <c r="C25" t="s">
        <v>106</v>
      </c>
      <c r="D25" t="s">
        <v>82</v>
      </c>
      <c r="F25" s="5"/>
      <c r="G25" s="5"/>
      <c r="H25" s="5"/>
      <c r="I25" s="5"/>
    </row>
    <row r="26" spans="2:9" x14ac:dyDescent="0.25">
      <c r="B26" s="19">
        <v>22</v>
      </c>
      <c r="C26" t="s">
        <v>28</v>
      </c>
      <c r="D26" t="s">
        <v>83</v>
      </c>
      <c r="F26" s="5"/>
      <c r="G26" s="5">
        <f>'NO 22'!D8</f>
        <v>17215</v>
      </c>
      <c r="H26" s="5"/>
      <c r="I26" s="5"/>
    </row>
    <row r="27" spans="2:9" x14ac:dyDescent="0.25">
      <c r="B27" s="19">
        <v>23</v>
      </c>
      <c r="C27" t="s">
        <v>25</v>
      </c>
      <c r="D27" t="s">
        <v>84</v>
      </c>
      <c r="F27" s="5"/>
      <c r="G27" s="5">
        <f>'NO 23'!D9</f>
        <v>13000</v>
      </c>
      <c r="H27" s="5"/>
      <c r="I27" s="5"/>
    </row>
    <row r="28" spans="2:9" x14ac:dyDescent="0.25">
      <c r="B28" s="19">
        <v>24</v>
      </c>
      <c r="C28" t="s">
        <v>29</v>
      </c>
      <c r="D28" t="s">
        <v>85</v>
      </c>
      <c r="F28" s="5"/>
      <c r="G28" s="5">
        <f>'NO 24'!D9</f>
        <v>7000</v>
      </c>
      <c r="H28" s="5"/>
      <c r="I28" s="5"/>
    </row>
    <row r="29" spans="2:9" x14ac:dyDescent="0.25">
      <c r="B29" s="19">
        <v>25</v>
      </c>
      <c r="C29" t="s">
        <v>26</v>
      </c>
      <c r="D29" t="s">
        <v>86</v>
      </c>
      <c r="F29" s="5"/>
      <c r="G29" s="5">
        <f>'NO 25'!D8</f>
        <v>9500</v>
      </c>
      <c r="H29" s="5"/>
      <c r="I29" s="5"/>
    </row>
    <row r="30" spans="2:9" x14ac:dyDescent="0.25">
      <c r="B30" s="19">
        <v>26</v>
      </c>
      <c r="C30" t="s">
        <v>117</v>
      </c>
      <c r="D30" t="s">
        <v>87</v>
      </c>
      <c r="F30" s="5"/>
      <c r="G30" s="5"/>
      <c r="H30" s="5"/>
      <c r="I30" s="5"/>
    </row>
    <row r="31" spans="2:9" x14ac:dyDescent="0.25">
      <c r="B31" s="19">
        <v>27</v>
      </c>
      <c r="C31" t="s">
        <v>43</v>
      </c>
      <c r="D31" t="s">
        <v>88</v>
      </c>
      <c r="F31" s="5"/>
      <c r="G31" s="5">
        <f>'NO 27'!D8</f>
        <v>14000</v>
      </c>
      <c r="H31" s="5"/>
      <c r="I31" s="5"/>
    </row>
    <row r="32" spans="2:9" x14ac:dyDescent="0.25">
      <c r="B32" s="19">
        <v>28</v>
      </c>
      <c r="C32" t="s">
        <v>44</v>
      </c>
      <c r="D32" t="s">
        <v>89</v>
      </c>
      <c r="F32" s="5"/>
      <c r="G32" s="5">
        <f>'NO 28'!D8</f>
        <v>21085</v>
      </c>
      <c r="H32" s="5"/>
      <c r="I32" s="5"/>
    </row>
    <row r="33" spans="2:9" x14ac:dyDescent="0.25">
      <c r="B33" s="19">
        <v>29</v>
      </c>
      <c r="C33" t="s">
        <v>31</v>
      </c>
      <c r="D33" t="s">
        <v>90</v>
      </c>
      <c r="F33" s="5"/>
      <c r="G33" s="5"/>
      <c r="H33" s="5"/>
      <c r="I33" s="5"/>
    </row>
    <row r="34" spans="2:9" x14ac:dyDescent="0.25">
      <c r="B34" s="19">
        <v>30</v>
      </c>
      <c r="C34" t="s">
        <v>47</v>
      </c>
      <c r="D34" t="s">
        <v>91</v>
      </c>
      <c r="F34" s="5"/>
      <c r="G34" s="5">
        <f>'NO 30'!D8</f>
        <v>23000</v>
      </c>
      <c r="H34" s="5"/>
      <c r="I34" s="5"/>
    </row>
    <row r="35" spans="2:9" x14ac:dyDescent="0.25">
      <c r="B35" s="19">
        <v>31</v>
      </c>
      <c r="C35" t="s">
        <v>35</v>
      </c>
      <c r="D35" t="s">
        <v>92</v>
      </c>
      <c r="F35" s="5"/>
      <c r="G35" s="5">
        <f>'NO 31'!D10</f>
        <v>60000</v>
      </c>
      <c r="H35" s="5"/>
      <c r="I35" s="5"/>
    </row>
    <row r="36" spans="2:9" x14ac:dyDescent="0.25">
      <c r="B36" s="19">
        <v>32</v>
      </c>
      <c r="C36" t="s">
        <v>54</v>
      </c>
      <c r="D36" t="s">
        <v>93</v>
      </c>
      <c r="F36" s="5"/>
      <c r="G36" s="5"/>
      <c r="H36" s="5">
        <f>'NO 32'!G8</f>
        <v>-419.27</v>
      </c>
      <c r="I36" s="5"/>
    </row>
    <row r="37" spans="2:9" x14ac:dyDescent="0.25">
      <c r="B37" s="19">
        <v>33</v>
      </c>
      <c r="C37" t="s">
        <v>42</v>
      </c>
      <c r="D37" t="s">
        <v>94</v>
      </c>
      <c r="F37" s="5"/>
      <c r="G37" s="5">
        <f>'NO 33'!D8</f>
        <v>16564.900000000001</v>
      </c>
      <c r="H37" s="5"/>
      <c r="I37" s="5"/>
    </row>
    <row r="38" spans="2:9" x14ac:dyDescent="0.25">
      <c r="B38" s="19">
        <v>34</v>
      </c>
      <c r="C38" t="s">
        <v>172</v>
      </c>
      <c r="D38" t="s">
        <v>95</v>
      </c>
      <c r="F38" s="5"/>
      <c r="G38" s="5">
        <f>'NO 34'!D8</f>
        <v>25000</v>
      </c>
      <c r="H38" s="5"/>
      <c r="I38" s="5"/>
    </row>
    <row r="39" spans="2:9" x14ac:dyDescent="0.25">
      <c r="B39" s="19">
        <v>35</v>
      </c>
      <c r="C39" t="s">
        <v>49</v>
      </c>
      <c r="D39" t="s">
        <v>96</v>
      </c>
      <c r="F39" s="5"/>
      <c r="G39" s="5"/>
      <c r="H39" s="5">
        <f>'NO 35'!G9</f>
        <v>-214504.7</v>
      </c>
      <c r="I39" s="5"/>
    </row>
    <row r="40" spans="2:9" x14ac:dyDescent="0.25">
      <c r="B40" s="19">
        <v>36</v>
      </c>
      <c r="C40" t="s">
        <v>46</v>
      </c>
      <c r="D40" t="s">
        <v>97</v>
      </c>
      <c r="F40" s="5"/>
      <c r="G40" s="5"/>
      <c r="H40" s="5"/>
      <c r="I40" s="5"/>
    </row>
    <row r="41" spans="2:9" x14ac:dyDescent="0.25">
      <c r="B41" s="19">
        <v>37</v>
      </c>
      <c r="C41" t="s">
        <v>52</v>
      </c>
      <c r="D41" t="s">
        <v>98</v>
      </c>
      <c r="F41" s="5"/>
      <c r="G41" s="5">
        <f>'NO 37'!D9</f>
        <v>67000</v>
      </c>
      <c r="H41" s="5"/>
      <c r="I41" s="5"/>
    </row>
    <row r="42" spans="2:9" x14ac:dyDescent="0.25">
      <c r="B42" s="20">
        <v>38</v>
      </c>
      <c r="C42" t="s">
        <v>103</v>
      </c>
      <c r="D42" t="s">
        <v>99</v>
      </c>
      <c r="F42" s="5"/>
      <c r="G42" s="5"/>
      <c r="H42" s="5">
        <f>'NO 38'!G8</f>
        <v>-19809.13</v>
      </c>
      <c r="I42" s="5"/>
    </row>
    <row r="43" spans="2:9" x14ac:dyDescent="0.25">
      <c r="B43" s="19">
        <v>39</v>
      </c>
      <c r="C43" t="s">
        <v>40</v>
      </c>
      <c r="D43" t="s">
        <v>100</v>
      </c>
      <c r="F43" s="5"/>
      <c r="G43" s="5">
        <f>'NO 39'!D8</f>
        <v>10000</v>
      </c>
      <c r="H43" s="5"/>
      <c r="I43" s="5"/>
    </row>
    <row r="44" spans="2:9" x14ac:dyDescent="0.25">
      <c r="B44" s="19">
        <v>40</v>
      </c>
      <c r="C44" t="s">
        <v>36</v>
      </c>
      <c r="D44" t="s">
        <v>101</v>
      </c>
      <c r="F44" s="5"/>
      <c r="G44" s="5"/>
      <c r="H44" s="5">
        <f>'NO 40'!G8</f>
        <v>-5846.12</v>
      </c>
      <c r="I44" s="5"/>
    </row>
    <row r="45" spans="2:9" x14ac:dyDescent="0.25">
      <c r="B45" s="19">
        <v>41</v>
      </c>
      <c r="C45" t="s">
        <v>45</v>
      </c>
      <c r="D45" t="s">
        <v>102</v>
      </c>
      <c r="F45" s="5"/>
      <c r="G45" s="5"/>
      <c r="H45" s="5"/>
      <c r="I45" s="5"/>
    </row>
    <row r="46" spans="2:9" x14ac:dyDescent="0.25">
      <c r="B46" s="19">
        <v>42</v>
      </c>
      <c r="C46" t="s">
        <v>53</v>
      </c>
      <c r="D46" t="s">
        <v>104</v>
      </c>
      <c r="F46" s="5"/>
      <c r="G46" s="5">
        <f>'NO 42'!D8</f>
        <v>1000</v>
      </c>
      <c r="H46" s="5"/>
      <c r="I46" s="5"/>
    </row>
    <row r="47" spans="2:9" x14ac:dyDescent="0.25">
      <c r="B47" s="19">
        <v>43</v>
      </c>
      <c r="C47" t="s">
        <v>105</v>
      </c>
      <c r="D47" t="s">
        <v>108</v>
      </c>
      <c r="F47" s="5"/>
      <c r="G47" s="5"/>
      <c r="H47" s="5"/>
      <c r="I47" s="5"/>
    </row>
    <row r="48" spans="2:9" x14ac:dyDescent="0.25">
      <c r="B48" s="19">
        <v>44</v>
      </c>
      <c r="C48" t="s">
        <v>107</v>
      </c>
      <c r="D48" t="s">
        <v>109</v>
      </c>
      <c r="F48" s="5"/>
      <c r="G48" s="5">
        <f>'NO 44'!D8</f>
        <v>1684</v>
      </c>
      <c r="H48" s="5"/>
      <c r="I48" s="5"/>
    </row>
    <row r="49" spans="2:9" x14ac:dyDescent="0.25">
      <c r="B49" s="19">
        <v>45</v>
      </c>
      <c r="C49" t="s">
        <v>50</v>
      </c>
      <c r="D49" t="s">
        <v>110</v>
      </c>
      <c r="F49" s="5"/>
      <c r="G49" s="5">
        <f>'NO 45'!D8</f>
        <v>3600</v>
      </c>
      <c r="H49" s="5"/>
      <c r="I49" s="5"/>
    </row>
    <row r="50" spans="2:9" x14ac:dyDescent="0.25">
      <c r="B50" s="19">
        <v>46</v>
      </c>
      <c r="C50" t="s">
        <v>111</v>
      </c>
      <c r="D50" t="s">
        <v>118</v>
      </c>
      <c r="F50" s="5"/>
      <c r="G50" s="5">
        <f>'NO 46'!D13</f>
        <v>255050</v>
      </c>
      <c r="H50" s="5"/>
      <c r="I50" s="5"/>
    </row>
    <row r="51" spans="2:9" x14ac:dyDescent="0.25">
      <c r="B51" s="19">
        <v>47</v>
      </c>
      <c r="C51" t="s">
        <v>112</v>
      </c>
      <c r="D51" t="s">
        <v>119</v>
      </c>
      <c r="F51" s="5"/>
      <c r="G51" s="5"/>
      <c r="H51" s="5"/>
      <c r="I51" s="5"/>
    </row>
    <row r="52" spans="2:9" x14ac:dyDescent="0.25">
      <c r="B52" s="19">
        <v>48</v>
      </c>
      <c r="C52" t="s">
        <v>113</v>
      </c>
      <c r="D52" t="s">
        <v>120</v>
      </c>
      <c r="F52" s="5"/>
      <c r="G52" s="5"/>
      <c r="H52" s="5"/>
      <c r="I52" s="5"/>
    </row>
    <row r="53" spans="2:9" x14ac:dyDescent="0.25">
      <c r="B53" s="19">
        <v>49</v>
      </c>
      <c r="C53" t="s">
        <v>114</v>
      </c>
      <c r="D53" t="s">
        <v>121</v>
      </c>
      <c r="F53" s="5"/>
      <c r="G53" s="5"/>
      <c r="H53" s="5"/>
      <c r="I53" s="5"/>
    </row>
    <row r="54" spans="2:9" x14ac:dyDescent="0.25">
      <c r="B54" s="19">
        <v>50</v>
      </c>
      <c r="C54" t="s">
        <v>115</v>
      </c>
      <c r="D54" t="s">
        <v>122</v>
      </c>
      <c r="F54" s="5"/>
      <c r="G54" s="5">
        <f>'NO 50'!D9</f>
        <v>26320</v>
      </c>
      <c r="H54" s="5"/>
      <c r="I54" s="5"/>
    </row>
    <row r="55" spans="2:9" x14ac:dyDescent="0.25">
      <c r="B55" s="19">
        <v>51</v>
      </c>
      <c r="C55" t="s">
        <v>116</v>
      </c>
      <c r="D55" t="s">
        <v>123</v>
      </c>
      <c r="F55" s="5"/>
      <c r="G55" s="5"/>
      <c r="H55" s="5"/>
      <c r="I55" s="5"/>
    </row>
    <row r="56" spans="2:9" x14ac:dyDescent="0.25">
      <c r="B56" s="19">
        <v>52</v>
      </c>
      <c r="C56" t="s">
        <v>38</v>
      </c>
      <c r="D56" t="s">
        <v>127</v>
      </c>
      <c r="F56" s="5"/>
      <c r="G56" s="5">
        <f>'NO 52'!D9</f>
        <v>5000</v>
      </c>
      <c r="H56" s="5"/>
      <c r="I56" s="5"/>
    </row>
    <row r="57" spans="2:9" x14ac:dyDescent="0.25">
      <c r="B57" s="19">
        <v>53</v>
      </c>
      <c r="C57" t="s">
        <v>129</v>
      </c>
      <c r="D57" t="s">
        <v>130</v>
      </c>
      <c r="F57" s="5"/>
      <c r="G57" s="5"/>
      <c r="H57" s="5"/>
      <c r="I57" s="5"/>
    </row>
    <row r="58" spans="2:9" x14ac:dyDescent="0.25">
      <c r="B58" s="19">
        <v>54</v>
      </c>
      <c r="C58" t="s">
        <v>135</v>
      </c>
      <c r="D58" t="s">
        <v>133</v>
      </c>
      <c r="F58" s="5"/>
      <c r="G58" s="5">
        <f>'NO 54'!D11</f>
        <v>23000</v>
      </c>
      <c r="H58" s="5"/>
      <c r="I58" s="5"/>
    </row>
    <row r="59" spans="2:9" x14ac:dyDescent="0.25">
      <c r="B59" s="19">
        <v>55</v>
      </c>
      <c r="C59" t="s">
        <v>132</v>
      </c>
      <c r="D59" t="s">
        <v>134</v>
      </c>
      <c r="F59" s="5"/>
      <c r="G59" s="5">
        <f>'NO 55'!D11</f>
        <v>18000</v>
      </c>
      <c r="H59" s="5"/>
      <c r="I59" s="5"/>
    </row>
    <row r="60" spans="2:9" x14ac:dyDescent="0.25">
      <c r="B60" s="19">
        <v>56</v>
      </c>
      <c r="C60" t="s">
        <v>136</v>
      </c>
      <c r="D60" t="s">
        <v>140</v>
      </c>
      <c r="F60" s="5"/>
      <c r="G60" s="5"/>
      <c r="H60" s="5"/>
      <c r="I60" s="5"/>
    </row>
    <row r="61" spans="2:9" x14ac:dyDescent="0.25">
      <c r="B61" s="19">
        <v>57</v>
      </c>
      <c r="C61" t="s">
        <v>137</v>
      </c>
      <c r="D61" t="s">
        <v>141</v>
      </c>
      <c r="F61" s="5"/>
      <c r="G61" s="5"/>
      <c r="H61" s="5"/>
      <c r="I61" s="5"/>
    </row>
    <row r="62" spans="2:9" x14ac:dyDescent="0.25">
      <c r="B62" s="19">
        <v>58</v>
      </c>
      <c r="C62" t="s">
        <v>138</v>
      </c>
      <c r="D62" t="s">
        <v>142</v>
      </c>
      <c r="F62" s="5"/>
      <c r="G62" s="5"/>
      <c r="H62" s="5"/>
      <c r="I62" s="5"/>
    </row>
    <row r="63" spans="2:9" x14ac:dyDescent="0.25">
      <c r="B63" s="19">
        <v>59</v>
      </c>
      <c r="C63" t="s">
        <v>139</v>
      </c>
      <c r="D63" t="s">
        <v>143</v>
      </c>
      <c r="F63" s="5"/>
      <c r="G63" s="5"/>
      <c r="H63" s="5"/>
      <c r="I63" s="5"/>
    </row>
    <row r="64" spans="2:9" x14ac:dyDescent="0.25">
      <c r="B64" s="19">
        <v>60</v>
      </c>
      <c r="C64" t="s">
        <v>149</v>
      </c>
      <c r="D64" t="s">
        <v>148</v>
      </c>
      <c r="F64" s="5"/>
      <c r="G64" s="5">
        <f>'NO 60'!D8</f>
        <v>8000</v>
      </c>
      <c r="H64" s="5"/>
      <c r="I64" s="5"/>
    </row>
    <row r="65" spans="2:9" x14ac:dyDescent="0.25">
      <c r="B65" s="19">
        <v>61</v>
      </c>
      <c r="C65" t="s">
        <v>171</v>
      </c>
      <c r="D65" t="s">
        <v>150</v>
      </c>
      <c r="F65" s="5"/>
      <c r="G65" s="5">
        <f>'NO 61'!D9</f>
        <v>23000</v>
      </c>
      <c r="H65" s="5"/>
      <c r="I65" s="5"/>
    </row>
    <row r="66" spans="2:9" x14ac:dyDescent="0.25">
      <c r="B66" s="19">
        <v>62</v>
      </c>
      <c r="C66" t="s">
        <v>173</v>
      </c>
      <c r="D66" t="s">
        <v>151</v>
      </c>
      <c r="F66" s="5"/>
      <c r="G66" s="5">
        <f>'NO 62'!D9</f>
        <v>18000</v>
      </c>
      <c r="H66" s="5"/>
      <c r="I66" s="5"/>
    </row>
    <row r="67" spans="2:9" x14ac:dyDescent="0.25">
      <c r="B67" s="19">
        <v>63</v>
      </c>
      <c r="D67" t="s">
        <v>152</v>
      </c>
      <c r="F67" s="5"/>
      <c r="G67" s="5"/>
      <c r="H67" s="5"/>
      <c r="I67" s="5"/>
    </row>
    <row r="68" spans="2:9" x14ac:dyDescent="0.25">
      <c r="B68" s="19">
        <v>64</v>
      </c>
      <c r="D68" t="s">
        <v>153</v>
      </c>
      <c r="F68" s="5"/>
      <c r="G68" s="5"/>
      <c r="H68" s="5"/>
      <c r="I68" s="5"/>
    </row>
    <row r="69" spans="2:9" x14ac:dyDescent="0.25">
      <c r="B69" s="19">
        <v>65</v>
      </c>
      <c r="D69" t="s">
        <v>154</v>
      </c>
      <c r="F69" s="5"/>
      <c r="G69" s="5"/>
      <c r="H69" s="5"/>
      <c r="I69" s="5"/>
    </row>
    <row r="70" spans="2:9" x14ac:dyDescent="0.25">
      <c r="B70" s="19">
        <v>66</v>
      </c>
      <c r="D70" t="s">
        <v>155</v>
      </c>
      <c r="F70" s="5"/>
      <c r="G70" s="5"/>
      <c r="H70" s="5"/>
      <c r="I70" s="5"/>
    </row>
    <row r="71" spans="2:9" x14ac:dyDescent="0.25">
      <c r="B71" s="19">
        <v>67</v>
      </c>
      <c r="D71" t="s">
        <v>156</v>
      </c>
      <c r="F71" s="5"/>
      <c r="G71" s="5"/>
      <c r="H71" s="5"/>
      <c r="I71" s="5"/>
    </row>
    <row r="72" spans="2:9" x14ac:dyDescent="0.25">
      <c r="B72" s="19">
        <v>68</v>
      </c>
      <c r="D72" t="s">
        <v>157</v>
      </c>
      <c r="F72" s="5"/>
      <c r="G72" s="5"/>
      <c r="H72" s="5"/>
      <c r="I72" s="5"/>
    </row>
    <row r="73" spans="2:9" x14ac:dyDescent="0.25">
      <c r="B73" s="19">
        <v>69</v>
      </c>
      <c r="D73" t="s">
        <v>158</v>
      </c>
      <c r="F73" s="5"/>
      <c r="G73" s="5"/>
      <c r="H73" s="5"/>
      <c r="I73" s="5"/>
    </row>
    <row r="74" spans="2:9" x14ac:dyDescent="0.25">
      <c r="B74" s="19">
        <v>70</v>
      </c>
      <c r="D74" t="s">
        <v>159</v>
      </c>
      <c r="F74" s="5"/>
      <c r="G74" s="5"/>
      <c r="H74" s="5"/>
      <c r="I74" s="5"/>
    </row>
    <row r="75" spans="2:9" x14ac:dyDescent="0.25">
      <c r="B75" s="19">
        <v>71</v>
      </c>
      <c r="D75" t="s">
        <v>160</v>
      </c>
      <c r="F75" s="5"/>
      <c r="G75" s="5"/>
      <c r="H75" s="5"/>
      <c r="I75" s="5"/>
    </row>
    <row r="76" spans="2:9" x14ac:dyDescent="0.25">
      <c r="B76" s="19">
        <v>72</v>
      </c>
      <c r="D76" t="s">
        <v>161</v>
      </c>
      <c r="F76" s="5"/>
      <c r="G76" s="5"/>
      <c r="H76" s="5"/>
      <c r="I76" s="5"/>
    </row>
    <row r="77" spans="2:9" x14ac:dyDescent="0.25">
      <c r="B77" s="19">
        <v>73</v>
      </c>
      <c r="D77" t="s">
        <v>162</v>
      </c>
      <c r="F77" s="5"/>
      <c r="G77" s="5"/>
      <c r="H77" s="5"/>
      <c r="I77" s="5"/>
    </row>
    <row r="78" spans="2:9" x14ac:dyDescent="0.25">
      <c r="B78" s="19">
        <v>74</v>
      </c>
      <c r="D78" t="s">
        <v>163</v>
      </c>
      <c r="F78" s="5"/>
      <c r="G78" s="5"/>
      <c r="H78" s="5"/>
      <c r="I78" s="5"/>
    </row>
    <row r="79" spans="2:9" x14ac:dyDescent="0.25">
      <c r="B79" s="19">
        <v>75</v>
      </c>
      <c r="D79" t="s">
        <v>164</v>
      </c>
      <c r="F79" s="5"/>
      <c r="G79" s="5"/>
      <c r="H79" s="5"/>
      <c r="I79" s="5"/>
    </row>
    <row r="80" spans="2:9" x14ac:dyDescent="0.25">
      <c r="B80" s="19">
        <v>76</v>
      </c>
      <c r="D80" t="s">
        <v>165</v>
      </c>
      <c r="F80" s="5"/>
      <c r="G80" s="5"/>
      <c r="H80" s="5"/>
      <c r="I80" s="5"/>
    </row>
    <row r="81" spans="2:9" x14ac:dyDescent="0.25">
      <c r="B81" s="19">
        <v>77</v>
      </c>
      <c r="D81" t="s">
        <v>166</v>
      </c>
      <c r="F81" s="5"/>
      <c r="G81" s="5"/>
      <c r="H81" s="5"/>
      <c r="I81" s="5"/>
    </row>
    <row r="82" spans="2:9" x14ac:dyDescent="0.25">
      <c r="B82" s="19">
        <v>78</v>
      </c>
      <c r="D82" t="s">
        <v>167</v>
      </c>
      <c r="F82" s="5"/>
      <c r="G82" s="5"/>
      <c r="H82" s="5"/>
      <c r="I82" s="5"/>
    </row>
    <row r="83" spans="2:9" x14ac:dyDescent="0.25">
      <c r="B83" s="19">
        <v>79</v>
      </c>
      <c r="D83" t="s">
        <v>168</v>
      </c>
      <c r="F83" s="5"/>
      <c r="G83" s="5"/>
      <c r="H83" s="5"/>
      <c r="I83" s="5"/>
    </row>
    <row r="84" spans="2:9" x14ac:dyDescent="0.25">
      <c r="B84" s="19">
        <v>80</v>
      </c>
      <c r="D84" t="s">
        <v>169</v>
      </c>
      <c r="F84" s="5"/>
      <c r="G84" s="5"/>
      <c r="H84" s="5"/>
      <c r="I84" s="5"/>
    </row>
    <row r="88" spans="2:9" x14ac:dyDescent="0.25">
      <c r="C88" t="s">
        <v>58</v>
      </c>
      <c r="G88" s="24">
        <f>SUM(G5:G87)</f>
        <v>2488207.66</v>
      </c>
      <c r="H88" s="24">
        <f>SUM(H5:H87)</f>
        <v>-2028197.3399999996</v>
      </c>
      <c r="I88" s="24">
        <f>SUM(I5:I87)</f>
        <v>0</v>
      </c>
    </row>
  </sheetData>
  <phoneticPr fontId="3" type="noConversion"/>
  <conditionalFormatting sqref="C1:C55 C57:C64 C66:C1048576">
    <cfRule type="duplicateValues" dxfId="61" priority="6"/>
  </conditionalFormatting>
  <hyperlinks>
    <hyperlink ref="B11" location="'NO 7'!A1" display="'NO 7'!A1" xr:uid="{A92CC91A-2157-41F1-B200-3308ADAAB735}"/>
    <hyperlink ref="B21" location="'NO 17'!A1" display="'NO 17'!A1" xr:uid="{2228B84E-7A03-4B83-9433-5357B0452BA7}"/>
    <hyperlink ref="B5" location="'NO 1'!A1" display="'NO 1'!A1" xr:uid="{9E3C8867-83A5-4343-95EF-2B8DA367F5BF}"/>
    <hyperlink ref="B6" location="'NO 2'!A1" display="'NO 2'!A1" xr:uid="{9879BA6C-481A-423E-87B3-C116ECDC1907}"/>
    <hyperlink ref="B7" location="'No 3'!A1" display="'No 3'!A1" xr:uid="{3A60D213-B0CC-4CBE-AB99-426F15196C3C}"/>
    <hyperlink ref="B8" location="'No 4'!A1" display="'No 4'!A1" xr:uid="{A6CE38D6-03A1-48D5-BD86-74A91140C740}"/>
    <hyperlink ref="B9" location="'NO 5'!A1" display="'NO 5'!A1" xr:uid="{EFD2A58D-EDBA-495B-91E1-AA1FCC16B918}"/>
    <hyperlink ref="B10" location="'NO 6'!A1" display="'NO 6'!A1" xr:uid="{C8DD2258-94F1-42E5-AAEA-28735CACF4E3}"/>
    <hyperlink ref="B12" location="'NO 8'!A1" display="'NO 8'!A1" xr:uid="{ACFE2FE0-579F-4A1C-9F8E-674822191B24}"/>
    <hyperlink ref="B13" location="'NO 9'!A1" display="'NO 9'!A1" xr:uid="{08D1FE7D-DBA8-4853-A968-6CEDEE7B0333}"/>
    <hyperlink ref="B14" location="'NO 10'!A1" display="'NO 10'!A1" xr:uid="{7DDB8995-97BB-4EBD-8954-9D764060C5C6}"/>
    <hyperlink ref="B15" location="'NO 11'!A1" display="'NO 11'!A1" xr:uid="{D0FDA9A3-AD15-438F-AFDD-90BB49910E83}"/>
    <hyperlink ref="B16" location="'NO 12'!A1" display="'NO 12'!A1" xr:uid="{65183F1F-DD78-4FB5-BDFD-6B068AA0DD3D}"/>
    <hyperlink ref="B17" location="'NO 13'!A1" display="'NO 13'!A1" xr:uid="{D764EBB8-4E1A-4BE2-B840-7530C10F6DB8}"/>
    <hyperlink ref="B18" location="'NO 14'!A1" display="'NO 14'!A1" xr:uid="{644C580F-5873-4E21-BE67-F1F0F9744EEE}"/>
    <hyperlink ref="B19" location="'NO 15'!A1" display="'NO 15'!A1" xr:uid="{51EB66E1-F341-43B5-A349-606D34EF005D}"/>
    <hyperlink ref="B20" location="'NO 16'!A1" display="'NO 16'!A1" xr:uid="{86C605D8-7B01-47D6-B7C1-4939A7F7FF54}"/>
    <hyperlink ref="B22" location="'NO 18'!A1" display="'NO 18'!A1" xr:uid="{678B538F-FAB9-49FF-800E-EA145649242C}"/>
    <hyperlink ref="B23" location="'NO 19'!A1" display="'NO 19'!A1" xr:uid="{73D3D3C0-5A1F-439B-ADF6-3FFE36EB3B16}"/>
    <hyperlink ref="B24" location="'NO 20'!A1" display="'NO 20'!A1" xr:uid="{277F1F10-3007-4DE6-B7C5-773C6F5FD8AA}"/>
    <hyperlink ref="B25" location="'NO 21'!A1" display="'NO 21'!A1" xr:uid="{484263E5-8ECE-4D64-8EC7-54FDB8E135A9}"/>
    <hyperlink ref="B26" location="'NO 22'!A1" display="'NO 22'!A1" xr:uid="{C69243B8-A7B1-4AF2-B5CF-1B5466EC162D}"/>
    <hyperlink ref="B27" location="'NO 23'!A1" display="'NO 23'!A1" xr:uid="{B2EE4963-9E9A-499A-8E16-55361F64C0D0}"/>
    <hyperlink ref="B28" location="'NO 24'!A1" display="'NO 24'!A1" xr:uid="{7D02E6C6-A4CE-4CD9-805A-26DB76E9C0B3}"/>
    <hyperlink ref="B29" location="'NO 25'!A1" display="'NO 25'!A1" xr:uid="{96E309BF-DEE7-4426-B6B4-91FFA50A97DB}"/>
    <hyperlink ref="B30" location="'NO 26'!A1" display="'NO 26'!A1" xr:uid="{EE396F58-89C1-4132-95D4-8BC1EC3C2FDD}"/>
    <hyperlink ref="B31" location="'NO 27'!A1" display="'NO 27'!A1" xr:uid="{F38B528E-0705-4647-B287-2A7750F40C1E}"/>
    <hyperlink ref="B32" location="'NO 28'!A1" display="'NO 28'!A1" xr:uid="{322C3CD7-1459-42A7-9E51-AAA20F2B665C}"/>
    <hyperlink ref="B33" location="'NO 29'!A1" display="'NO 29'!A1" xr:uid="{192D7684-58E6-4B8B-9234-925CE1E4336D}"/>
    <hyperlink ref="B34" location="'NO 30'!A1" display="'NO 30'!A1" xr:uid="{ADEDF61E-5A36-4A40-B445-4210A001F979}"/>
    <hyperlink ref="B35" location="'NO 31'!A1" display="'NO 31'!A1" xr:uid="{80203F6C-B64C-40F5-B862-48428208CA17}"/>
    <hyperlink ref="B36" location="'NO 32'!A1" display="'NO 32'!A1" xr:uid="{FE59326B-4EDF-4B2D-BED0-0E9BD00F6BD3}"/>
    <hyperlink ref="B37" location="'NO 33'!A1" display="'NO 33'!A1" xr:uid="{12EFD8CA-65E1-41D5-A4B8-CD23D79CEDEE}"/>
    <hyperlink ref="B38" location="'NO 34'!A1" display="'NO 34'!A1" xr:uid="{9D96DB78-4DEC-4963-AE3E-701ED2CDDFD4}"/>
    <hyperlink ref="B39" location="'NO 35'!A1" display="'NO 35'!A1" xr:uid="{EDE75961-95D6-49E0-A937-F23D8B516BA0}"/>
    <hyperlink ref="B40" location="'NO 36'!A1" display="'NO 36'!A1" xr:uid="{A90443D2-AEAB-4C2C-8011-E657A52F2EB7}"/>
    <hyperlink ref="B41" location="'NO 37'!A1" display="'NO 37'!A1" xr:uid="{8548D0B1-8EAE-4207-BE4C-1D1ED7120FD3}"/>
    <hyperlink ref="B43" location="'NO 39'!A1" display="'NO 39'!A1" xr:uid="{F281018E-449E-426C-876F-F835B3915CCC}"/>
    <hyperlink ref="B44" location="'NO 40'!A1" display="'NO 40'!A1" xr:uid="{096F7709-B8D0-4899-AC9A-E4FAADF44C7E}"/>
    <hyperlink ref="B45" location="'NO 41'!A1" display="'NO 41'!A1" xr:uid="{F35958C6-A4B0-4EBA-8F5B-99581C05843A}"/>
    <hyperlink ref="B46" location="'NO 42'!A1" display="'NO 42'!A1" xr:uid="{AA6B6F66-48F7-4BDC-A9E6-7FAE1185F3E0}"/>
    <hyperlink ref="B47" location="'NO 43'!A1" display="'NO 43'!A1" xr:uid="{65C52A0E-437C-4837-A6FF-5B6242244B9F}"/>
    <hyperlink ref="B48" location="'NO 44'!A1" display="'NO 44'!A1" xr:uid="{A688D740-56A8-4B63-A68C-C25489667851}"/>
    <hyperlink ref="B49" location="'NO 45'!A1" display="'NO 45'!A1" xr:uid="{8B500349-827A-4917-9598-1F13E54C2CA5}"/>
    <hyperlink ref="B50" location="'NO 46'!A1" display="'NO 46'!A1" xr:uid="{F164B121-21CF-4308-A3F6-E64F1D5C6BFF}"/>
    <hyperlink ref="B51" location="'NO 47'!A1" display="'NO 47'!A1" xr:uid="{4FF33BA7-15D1-48AB-AE00-1B070F1F6669}"/>
    <hyperlink ref="B52" location="'NO 48'!A1" display="'NO 48'!A1" xr:uid="{40F42533-E5AA-4FA6-9D4C-A532E5E2D17E}"/>
    <hyperlink ref="B53" location="'NO 49'!A1" display="'NO 49'!A1" xr:uid="{EEA9FE9B-6EAC-4A5A-BA4B-3FF0CAE9ED70}"/>
    <hyperlink ref="B54" location="'NO 50'!A1" display="'NO 50'!A1" xr:uid="{C3067714-FB28-4C63-8DFF-73AE13420B34}"/>
    <hyperlink ref="B55" location="'NO 51'!A1" display="'NO 51'!A1" xr:uid="{459192F8-F368-4C7D-8564-1D65B67DA000}"/>
    <hyperlink ref="B56" location="'NO 52'!A1" display="'NO 52'!A1" xr:uid="{4BEF5F7C-5298-4E7C-8B3D-3C5E5595C05B}"/>
    <hyperlink ref="B57" location="'NO 53'!A1" display="'NO 53'!A1" xr:uid="{E0ED5C26-49F3-467F-BBA5-5688E6D4C50A}"/>
    <hyperlink ref="B58" location="'NO 54'!A1" display="'NO 54'!A1" xr:uid="{737CC7B7-87DB-4373-B33C-C78939DD9A44}"/>
    <hyperlink ref="B59" location="'NO 55'!A1" display="'NO 55'!A1" xr:uid="{A83D8E37-2049-4447-B8D3-07A66E8E711D}"/>
    <hyperlink ref="B60" location="'NO 56'!A1" display="'NO 56'!A1" xr:uid="{7FBDCF81-4CD3-4A79-A6FB-C1E63692DC27}"/>
    <hyperlink ref="B61" location="'NO 57'!A1" display="'NO 57'!A1" xr:uid="{920CB6EC-3B7B-4110-9A8F-A2F46EFD29FD}"/>
    <hyperlink ref="B62" location="'NO 58'!A1" display="'NO 58'!A1" xr:uid="{CED12C59-7710-4F8E-882A-489B7C83B2A1}"/>
    <hyperlink ref="B63" location="'NO 59'!A1" display="'NO 59'!A1" xr:uid="{782C0BE8-899C-4D2D-B8AC-EFBCA934BD7B}"/>
    <hyperlink ref="B64" location="'NO 60'!A1" display="'NO 60'!A1" xr:uid="{275F4BDA-9A6F-4066-9C88-4AA2692FE400}"/>
    <hyperlink ref="B42" location="'NO 38'!A1" display="'NO 38'!A1" xr:uid="{404983E5-7F3B-4730-A4A1-D08CB9BB5F05}"/>
    <hyperlink ref="B65:B82" location="'NO 60'!A1" display="'NO 60'!A1" xr:uid="{8FE5CC12-1F1A-423D-85C7-0567A1A8E4DC}"/>
    <hyperlink ref="B83:B84" location="'NO 60'!A1" display="'NO 60'!A1" xr:uid="{63465F00-3CB8-4C04-94F5-A8048B703C20}"/>
    <hyperlink ref="B65" location="'NO 61'!A1" display="'NO 61'!A1" xr:uid="{938847A0-F30C-4730-89E7-B9548BAD4306}"/>
    <hyperlink ref="B66" location="'NO 62'!A1" display="'NO 62'!A1" xr:uid="{A6815277-751F-4EBB-9CBA-054A44A1B3E7}"/>
    <hyperlink ref="B67" location="'NO 63'!A1" display="'NO 63'!A1" xr:uid="{42B7EDDA-09F9-43C3-A834-7D892C19F192}"/>
    <hyperlink ref="B68" location="'NO 64'!A1" display="'NO 64'!A1" xr:uid="{20D85DEA-093B-4002-955E-2B264621834B}"/>
    <hyperlink ref="B69" location="'NO 65'!A1" display="'NO 65'!A1" xr:uid="{1F9FC504-A138-4B5C-8979-B0CDFB0EDBEB}"/>
    <hyperlink ref="B70" location="'NO 66'!A1" display="'NO 66'!A1" xr:uid="{055880A8-E475-48D3-8CD6-299D004E8816}"/>
    <hyperlink ref="B71" location="'NO 67'!A1" display="'NO 67'!A1" xr:uid="{4086B7AD-71DB-4D3D-8836-FDC731D96B7E}"/>
    <hyperlink ref="B72" location="'NO 68'!A1" display="'NO 68'!A1" xr:uid="{3545AD32-068D-4722-BBE8-35B49AAE9729}"/>
    <hyperlink ref="B73" location="'NO 69'!A1" display="'NO 69'!A1" xr:uid="{7A5465B6-A4FF-4E9A-B58B-F1441DD58BC6}"/>
    <hyperlink ref="B74" location="'NO 70'!A1" display="'NO 70'!A1" xr:uid="{1C5BB947-F25C-4731-A127-8AD4450203B9}"/>
    <hyperlink ref="B75" location="'NO 71'!A1" display="'NO 71'!A1" xr:uid="{21A2C3D3-13D7-4C20-A121-220ACD34C4D8}"/>
    <hyperlink ref="B76" location="'NO 72'!A1" display="'NO 72'!A1" xr:uid="{7583A560-9689-45FF-9A8E-1F4C6B1BFD6E}"/>
    <hyperlink ref="B77" location="'NO 73'!A1" display="'NO 73'!A1" xr:uid="{C03A4C55-5256-45DA-8C4B-AC6B69F8801D}"/>
    <hyperlink ref="B78" location="'NO 74'!A1" display="'NO 74'!A1" xr:uid="{A8DE5002-1E2D-41C3-9328-9324EF409092}"/>
    <hyperlink ref="B79" location="'NO 75'!A1" display="'NO 75'!A1" xr:uid="{31C9A9A0-178E-429D-9981-8DBCE38FA753}"/>
    <hyperlink ref="B80" location="'NO 76'!A1" display="'NO 76'!A1" xr:uid="{692D83A3-08A3-40CD-986B-14C6A519D00B}"/>
    <hyperlink ref="B81" location="'NO 77'!A1" display="'NO 77'!A1" xr:uid="{E7645A5D-0766-4CEE-8DBC-E70B23D777DB}"/>
    <hyperlink ref="B82" location="'NO 78'!A1" display="'NO 78'!A1" xr:uid="{CB912096-4DC4-49A3-AB9B-0A0DF3139DA6}"/>
    <hyperlink ref="B83" location="'NO 79'!A1" display="'NO 79'!A1" xr:uid="{63856EFE-2099-4D4E-90E4-9C723D4559FC}"/>
    <hyperlink ref="B84" location="'NO 80'!A1" display="'NO 80'!A1" xr:uid="{5E1118E9-B702-45EF-A3DE-ABCDB9C2E1E9}"/>
  </hyperlinks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F9A8-952B-4941-B473-D017AB35821C}">
  <dimension ref="A1:J21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9" sqref="D9"/>
    </sheetView>
  </sheetViews>
  <sheetFormatPr defaultRowHeight="15" x14ac:dyDescent="0.25"/>
  <cols>
    <col min="1" max="1" width="12.28515625" customWidth="1"/>
    <col min="2" max="2" width="9.5703125" style="5" bestFit="1" customWidth="1"/>
    <col min="3" max="4" width="10.5703125" style="5" bestFit="1" customWidth="1"/>
    <col min="5" max="5" width="9.5703125" style="5" bestFit="1" customWidth="1"/>
    <col min="6" max="7" width="10.5703125" style="5" bestFit="1" customWidth="1"/>
    <col min="8" max="8" width="9.5703125" style="5" bestFit="1" customWidth="1"/>
    <col min="9" max="9" width="9.140625" style="5"/>
    <col min="10" max="10" width="10.7109375" style="5" customWidth="1"/>
  </cols>
  <sheetData>
    <row r="1" spans="1:10" x14ac:dyDescent="0.25">
      <c r="A1" t="s">
        <v>0</v>
      </c>
      <c r="B1" s="4"/>
      <c r="C1" s="4"/>
      <c r="D1" s="4"/>
      <c r="E1" s="4"/>
    </row>
    <row r="2" spans="1:10" x14ac:dyDescent="0.25">
      <c r="A2" s="1" t="s">
        <v>1</v>
      </c>
      <c r="B2" s="4"/>
    </row>
    <row r="3" spans="1:10" x14ac:dyDescent="0.25">
      <c r="A3" s="1" t="s">
        <v>2</v>
      </c>
      <c r="B3" s="19" t="s">
        <v>51</v>
      </c>
      <c r="D3" s="16" t="s">
        <v>60</v>
      </c>
    </row>
    <row r="4" spans="1:10" x14ac:dyDescent="0.25">
      <c r="A4" s="1" t="s">
        <v>3</v>
      </c>
      <c r="B4" s="4"/>
      <c r="F4"/>
    </row>
    <row r="5" spans="1:10" x14ac:dyDescent="0.25">
      <c r="A5" s="1" t="s">
        <v>13</v>
      </c>
      <c r="C5" s="5">
        <v>1000</v>
      </c>
    </row>
    <row r="6" spans="1:10" x14ac:dyDescent="0.25">
      <c r="A6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D8" s="5">
        <v>6000</v>
      </c>
    </row>
    <row r="9" spans="1:10" x14ac:dyDescent="0.25">
      <c r="A9" s="3"/>
    </row>
    <row r="11" spans="1:10" x14ac:dyDescent="0.25">
      <c r="A11" s="3"/>
    </row>
    <row r="12" spans="1:10" x14ac:dyDescent="0.25">
      <c r="A12" s="3"/>
    </row>
    <row r="13" spans="1:10" x14ac:dyDescent="0.25">
      <c r="A13" s="3"/>
    </row>
    <row r="14" spans="1:10" x14ac:dyDescent="0.25">
      <c r="A14" s="3"/>
    </row>
    <row r="15" spans="1:10" x14ac:dyDescent="0.25">
      <c r="A15" s="3"/>
    </row>
    <row r="16" spans="1:10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1" spans="1:1" x14ac:dyDescent="0.25">
      <c r="A21" s="3"/>
    </row>
  </sheetData>
  <mergeCells count="2">
    <mergeCell ref="B6:D6"/>
    <mergeCell ref="E6:G6"/>
  </mergeCells>
  <phoneticPr fontId="3" type="noConversion"/>
  <conditionalFormatting sqref="B3">
    <cfRule type="duplicateValues" dxfId="60" priority="1"/>
  </conditionalFormatting>
  <hyperlinks>
    <hyperlink ref="B3" location="SUMMARY!A1" display="O/S P.O. Odeyemi" xr:uid="{C37B3127-F8FE-4BE1-A93E-2C4034EF93EC}"/>
  </hyperlinks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2A8F-378C-450B-A2E2-9AEC9895E23C}">
  <dimension ref="A1:J34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9" sqref="D9"/>
    </sheetView>
  </sheetViews>
  <sheetFormatPr defaultRowHeight="15" x14ac:dyDescent="0.25"/>
  <cols>
    <col min="1" max="1" width="16" customWidth="1"/>
    <col min="2" max="7" width="11.5703125" style="5" bestFit="1" customWidth="1"/>
    <col min="8" max="9" width="10.5703125" style="5" bestFit="1" customWidth="1"/>
    <col min="10" max="10" width="9.5703125" style="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27</v>
      </c>
      <c r="D3" s="16" t="s">
        <v>61</v>
      </c>
    </row>
    <row r="4" spans="1:10" x14ac:dyDescent="0.25">
      <c r="A4" s="1" t="s">
        <v>3</v>
      </c>
    </row>
    <row r="5" spans="1:10" x14ac:dyDescent="0.25">
      <c r="A5" s="1" t="s">
        <v>13</v>
      </c>
      <c r="C5" s="5">
        <v>1000</v>
      </c>
    </row>
    <row r="6" spans="1:10" x14ac:dyDescent="0.25">
      <c r="A6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23">
        <v>45747</v>
      </c>
      <c r="D8" s="5">
        <v>0</v>
      </c>
    </row>
    <row r="9" spans="1:10" x14ac:dyDescent="0.25">
      <c r="A9" s="23">
        <v>45770</v>
      </c>
      <c r="C9" s="5">
        <v>56025</v>
      </c>
      <c r="D9" s="5">
        <f>+C9</f>
        <v>56025</v>
      </c>
    </row>
    <row r="10" spans="1:10" x14ac:dyDescent="0.25">
      <c r="A10" s="23">
        <v>46065</v>
      </c>
      <c r="C10" s="5">
        <v>20000</v>
      </c>
      <c r="D10" s="5">
        <f>+D9+C10</f>
        <v>76025</v>
      </c>
    </row>
    <row r="16" spans="1:10" x14ac:dyDescent="0.25">
      <c r="A16" s="6"/>
    </row>
    <row r="17" spans="1:10" x14ac:dyDescent="0.25">
      <c r="A17" s="6"/>
      <c r="C17" s="8"/>
    </row>
    <row r="18" spans="1:10" x14ac:dyDescent="0.25">
      <c r="A18" s="6"/>
    </row>
    <row r="19" spans="1:10" x14ac:dyDescent="0.25">
      <c r="A19" s="6"/>
    </row>
    <row r="20" spans="1:10" x14ac:dyDescent="0.25">
      <c r="E20" s="8"/>
    </row>
    <row r="21" spans="1:10" x14ac:dyDescent="0.25">
      <c r="A21" s="6"/>
    </row>
    <row r="22" spans="1:10" x14ac:dyDescent="0.25">
      <c r="A22" s="6"/>
    </row>
    <row r="23" spans="1:10" x14ac:dyDescent="0.25">
      <c r="A23" s="6"/>
      <c r="D23" s="8"/>
    </row>
    <row r="24" spans="1:10" x14ac:dyDescent="0.25">
      <c r="A24" s="6"/>
    </row>
    <row r="25" spans="1:10" x14ac:dyDescent="0.25">
      <c r="A25" s="6"/>
    </row>
    <row r="26" spans="1:10" x14ac:dyDescent="0.25">
      <c r="A26" s="6"/>
    </row>
    <row r="27" spans="1:10" x14ac:dyDescent="0.25">
      <c r="A27" s="6"/>
    </row>
    <row r="28" spans="1:10" x14ac:dyDescent="0.25">
      <c r="A28" s="6"/>
    </row>
    <row r="29" spans="1:10" x14ac:dyDescent="0.25">
      <c r="A29" s="6"/>
    </row>
    <row r="30" spans="1:10" x14ac:dyDescent="0.25">
      <c r="A30" s="7" t="s">
        <v>58</v>
      </c>
      <c r="E30" s="5">
        <f t="shared" ref="E30:J30" si="0">SUM(E8:E29)</f>
        <v>0</v>
      </c>
      <c r="F30" s="5">
        <f t="shared" si="0"/>
        <v>0</v>
      </c>
      <c r="G30" s="5">
        <f t="shared" si="0"/>
        <v>0</v>
      </c>
      <c r="H30" s="5">
        <f t="shared" si="0"/>
        <v>0</v>
      </c>
      <c r="I30" s="5">
        <f t="shared" si="0"/>
        <v>0</v>
      </c>
      <c r="J30" s="5">
        <f t="shared" si="0"/>
        <v>0</v>
      </c>
    </row>
    <row r="31" spans="1:10" x14ac:dyDescent="0.25">
      <c r="A31" s="7"/>
    </row>
    <row r="32" spans="1:10" x14ac:dyDescent="0.25">
      <c r="A32" s="6"/>
    </row>
    <row r="33" spans="1:1" x14ac:dyDescent="0.25">
      <c r="A33" s="7"/>
    </row>
    <row r="34" spans="1:1" x14ac:dyDescent="0.25">
      <c r="A34" s="7"/>
    </row>
  </sheetData>
  <mergeCells count="2">
    <mergeCell ref="B6:D6"/>
    <mergeCell ref="E6:G6"/>
  </mergeCells>
  <conditionalFormatting sqref="B3">
    <cfRule type="duplicateValues" dxfId="59" priority="1"/>
  </conditionalFormatting>
  <hyperlinks>
    <hyperlink ref="B3" location="SUMMARY!A1" display="Eld. V.O. Ogegengbe" xr:uid="{B7224A7E-E948-4A35-92B6-A387050AD84C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F156-CB5A-49C7-9BC8-BDAB0A52A43E}">
  <dimension ref="A1:J51"/>
  <sheetViews>
    <sheetView workbookViewId="0">
      <selection activeCell="D9" sqref="D9"/>
    </sheetView>
  </sheetViews>
  <sheetFormatPr defaultRowHeight="15" x14ac:dyDescent="0.25"/>
  <cols>
    <col min="1" max="1" width="11" customWidth="1"/>
    <col min="3" max="3" width="10.5703125" bestFit="1" customWidth="1"/>
    <col min="4" max="4" width="11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48</v>
      </c>
      <c r="D3" s="16" t="s">
        <v>62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27">
        <v>115000</v>
      </c>
      <c r="E8" s="5"/>
      <c r="F8" s="5"/>
      <c r="G8" s="5"/>
      <c r="H8" s="5"/>
      <c r="I8" s="5"/>
      <c r="J8" s="5"/>
    </row>
    <row r="9" spans="1:10" x14ac:dyDescent="0.25">
      <c r="A9" s="3">
        <v>46040</v>
      </c>
      <c r="B9" s="5"/>
      <c r="C9" s="5">
        <v>10000</v>
      </c>
      <c r="D9" s="5">
        <f>+D8+C9</f>
        <v>125000</v>
      </c>
      <c r="E9" s="5"/>
      <c r="F9" s="5"/>
      <c r="G9" s="5"/>
      <c r="H9" s="5"/>
      <c r="I9" s="5"/>
      <c r="J9" s="5"/>
    </row>
    <row r="10" spans="1:10" x14ac:dyDescent="0.25">
      <c r="A10" s="3">
        <v>46077</v>
      </c>
      <c r="B10" s="5"/>
      <c r="C10" s="5">
        <v>20000</v>
      </c>
      <c r="D10" s="5">
        <f>+D9+C10</f>
        <v>145000</v>
      </c>
      <c r="E10" s="5"/>
      <c r="F10" s="5"/>
      <c r="G10" s="5"/>
      <c r="H10" s="5"/>
      <c r="I10" s="5"/>
      <c r="J10" s="5"/>
    </row>
    <row r="11" spans="1:10" x14ac:dyDescent="0.25">
      <c r="A11" s="3">
        <v>46159</v>
      </c>
      <c r="B11" s="5"/>
      <c r="C11" s="5">
        <v>10000</v>
      </c>
      <c r="D11" s="5">
        <f>+D10+C11</f>
        <v>155000</v>
      </c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</sheetData>
  <mergeCells count="2">
    <mergeCell ref="B6:D6"/>
    <mergeCell ref="E6:G6"/>
  </mergeCells>
  <conditionalFormatting sqref="B3">
    <cfRule type="duplicateValues" dxfId="58" priority="1"/>
  </conditionalFormatting>
  <hyperlinks>
    <hyperlink ref="B3" location="SUMMARY!A1" display="Eld. M.A. Adeagbo" xr:uid="{68608DEE-B692-44A7-BEC7-9D0F9F7219B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F603-F849-4F4B-A4DC-AFCCFCF0A741}">
  <dimension ref="A1:J54"/>
  <sheetViews>
    <sheetView workbookViewId="0">
      <selection activeCell="G9" sqref="G9"/>
    </sheetView>
  </sheetViews>
  <sheetFormatPr defaultRowHeight="15" x14ac:dyDescent="0.25"/>
  <cols>
    <col min="1" max="1" width="11" customWidth="1"/>
    <col min="4" max="4" width="12.28515625" bestFit="1" customWidth="1"/>
    <col min="6" max="7" width="12.285156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124</v>
      </c>
      <c r="D3" t="s">
        <v>65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E8" s="5"/>
      <c r="F8" s="5">
        <v>-284255.02</v>
      </c>
      <c r="G8" s="5">
        <f>F8</f>
        <v>-284255.02</v>
      </c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</sheetData>
  <mergeCells count="2">
    <mergeCell ref="B6:D6"/>
    <mergeCell ref="E6:G6"/>
  </mergeCells>
  <hyperlinks>
    <hyperlink ref="B3" location="SUMMARY!A1" display="ELD S.A. Ayeni" xr:uid="{06624495-DFF6-48FA-81CE-6AFC40E24BF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584F-4568-4E77-8348-EB3A8E249920}">
  <dimension ref="A1:J29"/>
  <sheetViews>
    <sheetView topLeftCell="A2" workbookViewId="0">
      <pane xSplit="1" ySplit="6" topLeftCell="B8" activePane="bottomRight" state="frozen"/>
      <selection activeCell="A2" sqref="A2"/>
      <selection pane="topRight" activeCell="B2" sqref="B2"/>
      <selection pane="bottomLeft" activeCell="A8" sqref="A8"/>
      <selection pane="bottomRight" activeCell="G9" sqref="G9"/>
    </sheetView>
  </sheetViews>
  <sheetFormatPr defaultRowHeight="15" x14ac:dyDescent="0.25"/>
  <cols>
    <col min="1" max="1" width="11.42578125" style="7" customWidth="1"/>
    <col min="2" max="7" width="11.5703125" style="5" bestFit="1" customWidth="1"/>
    <col min="8" max="9" width="10.5703125" style="5" bestFit="1" customWidth="1"/>
    <col min="10" max="10" width="9.140625" style="5"/>
  </cols>
  <sheetData>
    <row r="1" spans="1:10" x14ac:dyDescent="0.25">
      <c r="A1" s="9" t="s">
        <v>0</v>
      </c>
    </row>
    <row r="2" spans="1:10" x14ac:dyDescent="0.25">
      <c r="A2" s="9" t="s">
        <v>1</v>
      </c>
    </row>
    <row r="3" spans="1:10" x14ac:dyDescent="0.25">
      <c r="A3" s="9" t="s">
        <v>2</v>
      </c>
      <c r="B3" s="21" t="s">
        <v>14</v>
      </c>
    </row>
    <row r="4" spans="1:10" x14ac:dyDescent="0.25">
      <c r="A4" s="9" t="s">
        <v>3</v>
      </c>
      <c r="D4" s="16" t="s">
        <v>66</v>
      </c>
    </row>
    <row r="5" spans="1:10" x14ac:dyDescent="0.25">
      <c r="A5" s="9" t="s">
        <v>13</v>
      </c>
      <c r="C5" s="5">
        <v>1000</v>
      </c>
    </row>
    <row r="6" spans="1:10" x14ac:dyDescent="0.25">
      <c r="A6" s="7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F8" s="5">
        <v>-31104.81</v>
      </c>
      <c r="G8" s="5">
        <f>F8</f>
        <v>-31104.81</v>
      </c>
    </row>
    <row r="13" spans="1:10" x14ac:dyDescent="0.25">
      <c r="A13" s="6"/>
    </row>
    <row r="14" spans="1:10" x14ac:dyDescent="0.25">
      <c r="A14" s="6"/>
    </row>
    <row r="15" spans="1:10" x14ac:dyDescent="0.25">
      <c r="A15" s="6"/>
    </row>
    <row r="16" spans="1:10" x14ac:dyDescent="0.25">
      <c r="A16" s="6"/>
      <c r="F16" s="8"/>
      <c r="G16" s="8"/>
      <c r="H16" s="8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9" spans="1:1" x14ac:dyDescent="0.25">
      <c r="A29" s="6"/>
    </row>
  </sheetData>
  <mergeCells count="2">
    <mergeCell ref="B6:D6"/>
    <mergeCell ref="E6:G6"/>
  </mergeCells>
  <hyperlinks>
    <hyperlink ref="B3" location="SUMMARY!A1" display="Elder S.B. Ibikunle" xr:uid="{5E55A440-9346-4440-BD05-76933A73886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5E85-6960-446D-8DE9-4120FBC30EED}">
  <dimension ref="A1:J33"/>
  <sheetViews>
    <sheetView workbookViewId="0">
      <selection activeCell="D9" sqref="D9"/>
    </sheetView>
  </sheetViews>
  <sheetFormatPr defaultRowHeight="15" x14ac:dyDescent="0.25"/>
  <cols>
    <col min="1" max="1" width="12.285156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56</v>
      </c>
      <c r="D3" t="s">
        <v>67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0</v>
      </c>
      <c r="E8" s="5"/>
      <c r="F8" s="5"/>
      <c r="G8" s="5"/>
      <c r="H8" s="5"/>
      <c r="I8" s="5"/>
      <c r="J8" s="5"/>
    </row>
    <row r="9" spans="1:10" x14ac:dyDescent="0.25">
      <c r="A9" s="3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3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3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3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3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3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3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3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3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3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3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3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</sheetData>
  <mergeCells count="2">
    <mergeCell ref="B6:D6"/>
    <mergeCell ref="E6:G6"/>
  </mergeCells>
  <conditionalFormatting sqref="B3">
    <cfRule type="duplicateValues" dxfId="57" priority="1"/>
  </conditionalFormatting>
  <hyperlinks>
    <hyperlink ref="B3" location="SUMMARY!A1" display="Eld. G. E. Leramo" xr:uid="{29A3EEE0-8100-4F34-827C-EC37F1096CA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CF5E-1A9D-42C1-A89D-F6ECC0525861}">
  <dimension ref="A1:J38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3.28515625" style="7" customWidth="1"/>
    <col min="2" max="3" width="11.5703125" style="5" bestFit="1" customWidth="1"/>
    <col min="4" max="4" width="12.28515625" style="5" bestFit="1" customWidth="1"/>
    <col min="5" max="5" width="11.5703125" style="5" bestFit="1" customWidth="1"/>
    <col min="6" max="7" width="12.28515625" style="5" bestFit="1" customWidth="1"/>
    <col min="8" max="10" width="10.5703125" style="5" bestFit="1" customWidth="1"/>
  </cols>
  <sheetData>
    <row r="1" spans="1:10" x14ac:dyDescent="0.25">
      <c r="A1" s="9" t="s">
        <v>0</v>
      </c>
    </row>
    <row r="2" spans="1:10" x14ac:dyDescent="0.25">
      <c r="A2" s="9" t="s">
        <v>1</v>
      </c>
    </row>
    <row r="3" spans="1:10" x14ac:dyDescent="0.25">
      <c r="A3" t="s">
        <v>2</v>
      </c>
      <c r="B3" s="19" t="s">
        <v>15</v>
      </c>
      <c r="C3"/>
      <c r="D3" t="s">
        <v>68</v>
      </c>
      <c r="E3"/>
      <c r="F3"/>
      <c r="G3"/>
      <c r="H3"/>
      <c r="I3"/>
      <c r="J3"/>
    </row>
    <row r="4" spans="1:10" x14ac:dyDescent="0.25">
      <c r="A4" t="s">
        <v>3</v>
      </c>
      <c r="B4"/>
      <c r="C4"/>
      <c r="D4"/>
      <c r="E4"/>
      <c r="F4"/>
      <c r="G4"/>
      <c r="H4"/>
      <c r="I4"/>
      <c r="J4"/>
    </row>
    <row r="5" spans="1:10" x14ac:dyDescent="0.25">
      <c r="A5" s="1" t="s">
        <v>13</v>
      </c>
      <c r="C5" s="5">
        <v>1000</v>
      </c>
    </row>
    <row r="6" spans="1:10" x14ac:dyDescent="0.25">
      <c r="A6" s="7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F8" s="5">
        <v>-432961.1</v>
      </c>
      <c r="G8" s="5">
        <f>F8</f>
        <v>-432961.1</v>
      </c>
    </row>
    <row r="18" spans="1:8" x14ac:dyDescent="0.25">
      <c r="A18" s="6"/>
    </row>
    <row r="19" spans="1:8" x14ac:dyDescent="0.25">
      <c r="A19" s="6"/>
    </row>
    <row r="20" spans="1:8" x14ac:dyDescent="0.25">
      <c r="A20" s="6"/>
    </row>
    <row r="21" spans="1:8" x14ac:dyDescent="0.25">
      <c r="A21" s="6"/>
    </row>
    <row r="22" spans="1:8" x14ac:dyDescent="0.25">
      <c r="A22" s="6"/>
    </row>
    <row r="23" spans="1:8" x14ac:dyDescent="0.25">
      <c r="A23" s="6"/>
    </row>
    <row r="24" spans="1:8" x14ac:dyDescent="0.25">
      <c r="A24" s="6"/>
    </row>
    <row r="26" spans="1:8" x14ac:dyDescent="0.25">
      <c r="A26" s="6"/>
    </row>
    <row r="27" spans="1:8" x14ac:dyDescent="0.25">
      <c r="A27" s="6"/>
      <c r="G27" s="8"/>
    </row>
    <row r="28" spans="1:8" x14ac:dyDescent="0.25">
      <c r="A28" s="6"/>
    </row>
    <row r="29" spans="1:8" x14ac:dyDescent="0.25">
      <c r="A29" s="6"/>
      <c r="F29" s="18"/>
      <c r="H29" s="18"/>
    </row>
    <row r="38" spans="1:1" x14ac:dyDescent="0.25">
      <c r="A38" s="6"/>
    </row>
  </sheetData>
  <mergeCells count="2">
    <mergeCell ref="B6:D6"/>
    <mergeCell ref="E6:G6"/>
  </mergeCells>
  <hyperlinks>
    <hyperlink ref="B3" location="SUMMARY!A1" display="Elder A.E. Obakpe" xr:uid="{2A48106D-AB0E-4E31-A1BD-CE844E5DC805}"/>
  </hyperlinks>
  <pageMargins left="0.7" right="0.7" top="0.75" bottom="0.75" header="0.3" footer="0.3"/>
  <pageSetup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F05F-AEF9-40BE-A22E-D41522A6EDEC}">
  <dimension ref="A1:J346"/>
  <sheetViews>
    <sheetView workbookViewId="0"/>
  </sheetViews>
  <sheetFormatPr defaultRowHeight="15" x14ac:dyDescent="0.25"/>
  <cols>
    <col min="1" max="1" width="11.7109375" customWidth="1"/>
    <col min="3" max="4" width="10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37</v>
      </c>
      <c r="D3" t="s">
        <v>69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-7086.24</v>
      </c>
      <c r="E8" s="5"/>
      <c r="F8" s="5"/>
      <c r="G8" s="5"/>
      <c r="H8" s="5"/>
      <c r="I8" s="5"/>
      <c r="J8" s="5"/>
    </row>
    <row r="9" spans="1:10" x14ac:dyDescent="0.25">
      <c r="A9" s="3">
        <v>46048</v>
      </c>
      <c r="B9" s="5"/>
      <c r="C9" s="5">
        <v>20000</v>
      </c>
      <c r="D9" s="5">
        <f>+D8+C9</f>
        <v>12913.76</v>
      </c>
      <c r="E9" s="5"/>
      <c r="F9" s="5"/>
      <c r="G9" s="5"/>
      <c r="H9" s="5"/>
      <c r="I9" s="5"/>
      <c r="J9" s="5"/>
    </row>
    <row r="10" spans="1:10" x14ac:dyDescent="0.25">
      <c r="A10" s="3">
        <v>46097</v>
      </c>
      <c r="B10" s="5"/>
      <c r="C10" s="5">
        <v>10000</v>
      </c>
      <c r="D10" s="5">
        <f>+D9+C10</f>
        <v>22913.760000000002</v>
      </c>
      <c r="E10" s="5"/>
      <c r="F10" s="5"/>
      <c r="G10" s="5"/>
      <c r="H10" s="5"/>
      <c r="I10" s="5"/>
      <c r="J10" s="5"/>
    </row>
    <row r="11" spans="1:10" x14ac:dyDescent="0.25">
      <c r="A11" s="3">
        <v>46114</v>
      </c>
      <c r="B11" s="5"/>
      <c r="C11" s="5">
        <v>10000</v>
      </c>
      <c r="D11" s="5">
        <f>+D10+C11</f>
        <v>32913.760000000002</v>
      </c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</sheetData>
  <mergeCells count="2">
    <mergeCell ref="B6:D6"/>
    <mergeCell ref="E6:G6"/>
  </mergeCells>
  <hyperlinks>
    <hyperlink ref="B3" location="SUMMARY!A1" display="Eld. J.O. Adeleye" xr:uid="{968C99A2-E164-435B-A831-186A4E2E3AE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F8EC-5145-4304-916E-6E55FA51232C}">
  <dimension ref="A1:J2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G9" sqref="G9"/>
    </sheetView>
  </sheetViews>
  <sheetFormatPr defaultRowHeight="15" x14ac:dyDescent="0.25"/>
  <cols>
    <col min="1" max="1" width="15.28515625" style="11" customWidth="1"/>
    <col min="2" max="2" width="11.5703125" style="5" bestFit="1" customWidth="1"/>
    <col min="3" max="3" width="12.85546875" style="5" customWidth="1"/>
    <col min="4" max="7" width="11.5703125" style="5" bestFit="1" customWidth="1"/>
    <col min="8" max="9" width="10.5703125" style="5" bestFit="1" customWidth="1"/>
    <col min="10" max="10" width="9.140625" style="5"/>
  </cols>
  <sheetData>
    <row r="1" spans="1:10" x14ac:dyDescent="0.25">
      <c r="A1" s="10" t="s">
        <v>0</v>
      </c>
    </row>
    <row r="2" spans="1:10" x14ac:dyDescent="0.25">
      <c r="A2" s="10" t="s">
        <v>1</v>
      </c>
    </row>
    <row r="3" spans="1:10" x14ac:dyDescent="0.25">
      <c r="A3" s="10" t="s">
        <v>2</v>
      </c>
      <c r="B3" s="21" t="s">
        <v>17</v>
      </c>
      <c r="D3" t="s">
        <v>70</v>
      </c>
    </row>
    <row r="4" spans="1:10" x14ac:dyDescent="0.25">
      <c r="A4" s="10" t="s">
        <v>3</v>
      </c>
    </row>
    <row r="5" spans="1:10" x14ac:dyDescent="0.25">
      <c r="A5" s="10" t="s">
        <v>13</v>
      </c>
    </row>
    <row r="6" spans="1:10" x14ac:dyDescent="0.25">
      <c r="A6" s="11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F8" s="5">
        <v>-31429.7</v>
      </c>
      <c r="G8" s="5">
        <f>F8</f>
        <v>-31429.7</v>
      </c>
    </row>
    <row r="9" spans="1:10" x14ac:dyDescent="0.25">
      <c r="A9" s="12"/>
    </row>
    <row r="10" spans="1:10" x14ac:dyDescent="0.25">
      <c r="A10" s="12"/>
    </row>
    <row r="11" spans="1:10" x14ac:dyDescent="0.25">
      <c r="A11" s="12"/>
      <c r="B11" s="8"/>
      <c r="C11" s="8"/>
      <c r="D11" s="8"/>
      <c r="E11" s="8"/>
      <c r="F11" s="8"/>
      <c r="G11" s="8"/>
      <c r="H11" s="8"/>
      <c r="I11" s="8"/>
      <c r="J11" s="8"/>
    </row>
    <row r="20" spans="1:1" x14ac:dyDescent="0.25">
      <c r="A20" s="12"/>
    </row>
  </sheetData>
  <mergeCells count="2">
    <mergeCell ref="B6:D6"/>
    <mergeCell ref="E6:G6"/>
  </mergeCells>
  <hyperlinks>
    <hyperlink ref="B3" location="SUMMARY!A1" display="Eld P. Olabintan" xr:uid="{7B62C59F-9A96-4792-AC9E-E9200E4B1C3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DD67-524D-4FBD-A16B-CFFDA4E84466}">
  <dimension ref="A1:J23"/>
  <sheetViews>
    <sheetView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3" sqref="B3"/>
    </sheetView>
  </sheetViews>
  <sheetFormatPr defaultRowHeight="15" x14ac:dyDescent="0.25"/>
  <cols>
    <col min="1" max="1" width="10.7109375" style="11" bestFit="1" customWidth="1"/>
    <col min="2" max="2" width="10.5703125" style="5" bestFit="1" customWidth="1"/>
    <col min="3" max="7" width="11.5703125" style="5" bestFit="1" customWidth="1"/>
    <col min="8" max="10" width="10.5703125" style="5" bestFit="1" customWidth="1"/>
  </cols>
  <sheetData>
    <row r="1" spans="1:10" x14ac:dyDescent="0.25">
      <c r="A1" s="10" t="s">
        <v>0</v>
      </c>
    </row>
    <row r="2" spans="1:10" x14ac:dyDescent="0.25">
      <c r="A2" s="10" t="s">
        <v>1</v>
      </c>
    </row>
    <row r="3" spans="1:10" x14ac:dyDescent="0.25">
      <c r="A3" s="10" t="s">
        <v>2</v>
      </c>
      <c r="B3" s="21" t="s">
        <v>16</v>
      </c>
      <c r="D3" t="s">
        <v>71</v>
      </c>
    </row>
    <row r="4" spans="1:10" x14ac:dyDescent="0.25">
      <c r="A4" s="10" t="s">
        <v>3</v>
      </c>
    </row>
    <row r="6" spans="1:10" x14ac:dyDescent="0.25">
      <c r="A6" s="11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D8" s="5">
        <v>83500</v>
      </c>
    </row>
    <row r="9" spans="1:10" x14ac:dyDescent="0.25">
      <c r="A9" s="12">
        <v>45774</v>
      </c>
      <c r="C9" s="5">
        <v>50000</v>
      </c>
      <c r="D9" s="5">
        <f>+D8+C9</f>
        <v>133500</v>
      </c>
    </row>
    <row r="10" spans="1:10" x14ac:dyDescent="0.25">
      <c r="A10" s="12">
        <v>45775</v>
      </c>
      <c r="F10" s="5">
        <v>150000</v>
      </c>
      <c r="G10" s="5">
        <f>+F10</f>
        <v>150000</v>
      </c>
      <c r="H10" s="5">
        <v>7500</v>
      </c>
      <c r="J10" s="5">
        <f>+H10</f>
        <v>7500</v>
      </c>
    </row>
    <row r="11" spans="1:10" x14ac:dyDescent="0.25">
      <c r="A11" s="12">
        <v>45810</v>
      </c>
      <c r="E11" s="5">
        <v>42500</v>
      </c>
      <c r="G11" s="5">
        <f>+G10-E11</f>
        <v>107500</v>
      </c>
      <c r="I11" s="5">
        <v>7500</v>
      </c>
      <c r="J11" s="5">
        <f>+J10-I11</f>
        <v>0</v>
      </c>
    </row>
    <row r="12" spans="1:10" x14ac:dyDescent="0.25">
      <c r="A12" s="12">
        <v>45853</v>
      </c>
      <c r="C12" s="5">
        <v>192500</v>
      </c>
      <c r="D12" s="5">
        <f>+D9+C12</f>
        <v>326000</v>
      </c>
      <c r="E12" s="5">
        <v>107500</v>
      </c>
      <c r="G12" s="5">
        <f>+G11-E12</f>
        <v>0</v>
      </c>
    </row>
    <row r="13" spans="1:10" x14ac:dyDescent="0.25">
      <c r="A13" s="12">
        <v>46028</v>
      </c>
      <c r="F13" s="5">
        <v>300000</v>
      </c>
      <c r="G13" s="5">
        <f>+F13</f>
        <v>300000</v>
      </c>
      <c r="H13" s="5">
        <v>15000</v>
      </c>
      <c r="J13" s="5">
        <f>+H13</f>
        <v>15000</v>
      </c>
    </row>
    <row r="14" spans="1:10" x14ac:dyDescent="0.25">
      <c r="A14" s="12">
        <v>46054</v>
      </c>
      <c r="E14" s="5">
        <v>85000</v>
      </c>
      <c r="G14" s="5">
        <f>+G13-E14</f>
        <v>215000</v>
      </c>
      <c r="I14" s="5">
        <v>15000</v>
      </c>
      <c r="J14" s="5">
        <f>+H13-I14</f>
        <v>0</v>
      </c>
    </row>
    <row r="15" spans="1:10" x14ac:dyDescent="0.25">
      <c r="A15" s="12">
        <v>46082</v>
      </c>
      <c r="C15" s="5">
        <f>300000-215000</f>
        <v>85000</v>
      </c>
      <c r="D15" s="5">
        <f>+D12+C15</f>
        <v>411000</v>
      </c>
      <c r="F15" s="5">
        <v>215000</v>
      </c>
      <c r="G15" s="5">
        <f>G14-F15</f>
        <v>0</v>
      </c>
      <c r="H15" s="5">
        <f>+G14-F15</f>
        <v>0</v>
      </c>
    </row>
    <row r="16" spans="1:10" x14ac:dyDescent="0.25">
      <c r="A16" s="12">
        <v>46082</v>
      </c>
      <c r="C16" s="5">
        <v>15000</v>
      </c>
      <c r="D16" s="5">
        <f>+D15+C16</f>
        <v>426000</v>
      </c>
    </row>
    <row r="19" spans="1:1" x14ac:dyDescent="0.25">
      <c r="A19" s="12"/>
    </row>
    <row r="22" spans="1:1" x14ac:dyDescent="0.25">
      <c r="A22" s="12"/>
    </row>
    <row r="23" spans="1:1" x14ac:dyDescent="0.25">
      <c r="A23" s="12"/>
    </row>
  </sheetData>
  <mergeCells count="2">
    <mergeCell ref="B6:D6"/>
    <mergeCell ref="E6:G6"/>
  </mergeCells>
  <hyperlinks>
    <hyperlink ref="B3" location="SUMMARY!A1" display="Eld J. I. Evbotokhai" xr:uid="{9B539ABD-8DA8-42F9-B236-F799C7C3CAF0}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23E9-2A20-4A78-8F79-2C0D8745B730}">
  <dimension ref="A1:J3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"/>
    </sheetView>
  </sheetViews>
  <sheetFormatPr defaultRowHeight="15" x14ac:dyDescent="0.25"/>
  <cols>
    <col min="1" max="1" width="13.42578125" style="11" customWidth="1"/>
    <col min="2" max="7" width="10.5703125" style="5" bestFit="1" customWidth="1"/>
    <col min="8" max="9" width="9.5703125" style="5" bestFit="1" customWidth="1"/>
    <col min="10" max="10" width="9.140625" style="5"/>
  </cols>
  <sheetData>
    <row r="1" spans="1:10" x14ac:dyDescent="0.25">
      <c r="A1" s="10" t="s">
        <v>0</v>
      </c>
    </row>
    <row r="2" spans="1:10" x14ac:dyDescent="0.25">
      <c r="A2" s="10" t="s">
        <v>1</v>
      </c>
    </row>
    <row r="3" spans="1:10" x14ac:dyDescent="0.25">
      <c r="A3" s="10" t="s">
        <v>2</v>
      </c>
      <c r="B3" s="19" t="s">
        <v>63</v>
      </c>
      <c r="D3" t="s">
        <v>72</v>
      </c>
    </row>
    <row r="4" spans="1:10" x14ac:dyDescent="0.25">
      <c r="A4" s="10" t="s">
        <v>3</v>
      </c>
    </row>
    <row r="6" spans="1:10" x14ac:dyDescent="0.25">
      <c r="A6" s="11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D8" s="5">
        <v>5000</v>
      </c>
    </row>
    <row r="14" spans="1:10" x14ac:dyDescent="0.25">
      <c r="A14" s="12"/>
    </row>
    <row r="15" spans="1:10" x14ac:dyDescent="0.25">
      <c r="A15" s="12"/>
    </row>
    <row r="16" spans="1:10" x14ac:dyDescent="0.25">
      <c r="A16" s="12"/>
    </row>
    <row r="17" spans="1:4" x14ac:dyDescent="0.25">
      <c r="A17" s="12"/>
    </row>
    <row r="18" spans="1:4" x14ac:dyDescent="0.25">
      <c r="A18" s="12"/>
    </row>
    <row r="19" spans="1:4" x14ac:dyDescent="0.25">
      <c r="A19" s="12"/>
    </row>
    <row r="20" spans="1:4" x14ac:dyDescent="0.25">
      <c r="A20" s="12"/>
    </row>
    <row r="21" spans="1:4" x14ac:dyDescent="0.25">
      <c r="A21" s="12"/>
    </row>
    <row r="22" spans="1:4" x14ac:dyDescent="0.25">
      <c r="A22" s="12"/>
    </row>
    <row r="23" spans="1:4" x14ac:dyDescent="0.25">
      <c r="A23" s="12"/>
    </row>
    <row r="24" spans="1:4" x14ac:dyDescent="0.25">
      <c r="A24" s="12"/>
    </row>
    <row r="25" spans="1:4" x14ac:dyDescent="0.25">
      <c r="A25" s="12"/>
    </row>
    <row r="26" spans="1:4" x14ac:dyDescent="0.25">
      <c r="A26" s="12"/>
      <c r="C26" s="8"/>
      <c r="D26" s="8"/>
    </row>
    <row r="33" spans="1:1" x14ac:dyDescent="0.25">
      <c r="A33" s="6"/>
    </row>
  </sheetData>
  <mergeCells count="2">
    <mergeCell ref="B6:D6"/>
    <mergeCell ref="E6:G6"/>
  </mergeCells>
  <conditionalFormatting sqref="B3">
    <cfRule type="duplicateValues" dxfId="56" priority="1"/>
  </conditionalFormatting>
  <hyperlinks>
    <hyperlink ref="B3" location="SUMMARY!A1" display="Eld. S. Alabi" xr:uid="{714410D7-04BE-4E10-8985-4850E0BA721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F8E5-FD50-42F9-BB74-3D394563C0F8}">
  <dimension ref="A1:J134"/>
  <sheetViews>
    <sheetView workbookViewId="0">
      <selection activeCell="B3" sqref="B3"/>
    </sheetView>
  </sheetViews>
  <sheetFormatPr defaultRowHeight="15" x14ac:dyDescent="0.25"/>
  <cols>
    <col min="1" max="1" width="11.28515625" customWidth="1"/>
    <col min="4" max="4" width="11.28515625" bestFit="1" customWidth="1"/>
    <col min="6" max="7" width="11.285156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41</v>
      </c>
      <c r="D3" t="s">
        <v>73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E8" s="5"/>
      <c r="F8" s="5">
        <v>-89573.88</v>
      </c>
      <c r="G8" s="5">
        <f>+F8</f>
        <v>-89573.88</v>
      </c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</sheetData>
  <mergeCells count="2">
    <mergeCell ref="B6:D6"/>
    <mergeCell ref="E6:G6"/>
  </mergeCells>
  <hyperlinks>
    <hyperlink ref="B3" location="SUMMARY!A1" display="Eld. P.O. Ogunseye" xr:uid="{627C93FB-4C6E-4E34-97E9-2A8A79C3D197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7FFB-78D1-4EEB-8E7B-DE8BB3E022BD}">
  <dimension ref="A1:J2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"/>
    </sheetView>
  </sheetViews>
  <sheetFormatPr defaultRowHeight="15" x14ac:dyDescent="0.25"/>
  <cols>
    <col min="1" max="1" width="12.140625" customWidth="1"/>
    <col min="2" max="3" width="10.5703125" style="5" bestFit="1" customWidth="1"/>
    <col min="4" max="4" width="12.7109375" style="5" customWidth="1"/>
    <col min="5" max="5" width="10.5703125" style="5" bestFit="1" customWidth="1"/>
    <col min="6" max="7" width="12.28515625" style="5" bestFit="1" customWidth="1"/>
    <col min="8" max="9" width="9.5703125" style="5" bestFit="1" customWidth="1"/>
    <col min="10" max="10" width="9.140625" style="5"/>
  </cols>
  <sheetData>
    <row r="1" spans="1:10" x14ac:dyDescent="0.25">
      <c r="A1" s="10" t="s">
        <v>0</v>
      </c>
    </row>
    <row r="2" spans="1:10" x14ac:dyDescent="0.25">
      <c r="A2" s="10" t="s">
        <v>1</v>
      </c>
    </row>
    <row r="3" spans="1:10" x14ac:dyDescent="0.25">
      <c r="A3" s="10" t="s">
        <v>2</v>
      </c>
      <c r="B3" s="21" t="s">
        <v>18</v>
      </c>
      <c r="D3" t="s">
        <v>74</v>
      </c>
    </row>
    <row r="4" spans="1:10" x14ac:dyDescent="0.25">
      <c r="A4" s="10" t="s">
        <v>3</v>
      </c>
    </row>
    <row r="6" spans="1:10" x14ac:dyDescent="0.25">
      <c r="A6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46112</v>
      </c>
      <c r="F8" s="5">
        <v>-420050.29</v>
      </c>
      <c r="G8" s="5">
        <f>+F8</f>
        <v>-420050.29</v>
      </c>
    </row>
    <row r="9" spans="1:10" x14ac:dyDescent="0.25">
      <c r="A9" s="11"/>
    </row>
    <row r="14" spans="1:10" x14ac:dyDescent="0.25">
      <c r="A14" s="3"/>
    </row>
    <row r="15" spans="1:10" x14ac:dyDescent="0.25">
      <c r="A15" s="3"/>
    </row>
    <row r="16" spans="1:10" x14ac:dyDescent="0.25">
      <c r="A16" s="3"/>
    </row>
    <row r="17" spans="1:6" x14ac:dyDescent="0.25">
      <c r="A17" s="3"/>
    </row>
    <row r="18" spans="1:6" x14ac:dyDescent="0.25">
      <c r="A18" s="3"/>
      <c r="D18" s="8"/>
    </row>
    <row r="19" spans="1:6" x14ac:dyDescent="0.25">
      <c r="A19" s="3"/>
      <c r="D19" s="8"/>
    </row>
    <row r="20" spans="1:6" x14ac:dyDescent="0.25">
      <c r="F20" s="8"/>
    </row>
  </sheetData>
  <mergeCells count="2">
    <mergeCell ref="B6:D6"/>
    <mergeCell ref="E6:G6"/>
  </mergeCells>
  <hyperlinks>
    <hyperlink ref="B3" location="SUMMARY!A1" display="Eld A.S. Oyemayo" xr:uid="{3C013B0C-F364-4FF8-959C-81FC087ABA7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254B-4DD3-4383-B81F-83DEDC5FE3A1}">
  <dimension ref="A1:J17"/>
  <sheetViews>
    <sheetView workbookViewId="0">
      <selection activeCell="D8" sqref="D8"/>
    </sheetView>
  </sheetViews>
  <sheetFormatPr defaultRowHeight="15" x14ac:dyDescent="0.25"/>
  <cols>
    <col min="1" max="1" width="10.85546875" customWidth="1"/>
    <col min="2" max="6" width="11.5703125" style="5" bestFit="1" customWidth="1"/>
    <col min="7" max="7" width="9.140625" style="5"/>
    <col min="8" max="8" width="10.5703125" style="5" bestFit="1" customWidth="1"/>
    <col min="9" max="9" width="9.5703125" style="5" bestFit="1" customWidth="1"/>
    <col min="10" max="10" width="9.140625" style="5"/>
  </cols>
  <sheetData>
    <row r="1" spans="1:10" x14ac:dyDescent="0.25">
      <c r="A1" s="10" t="s">
        <v>0</v>
      </c>
    </row>
    <row r="2" spans="1:10" x14ac:dyDescent="0.25">
      <c r="A2" s="10" t="s">
        <v>1</v>
      </c>
    </row>
    <row r="3" spans="1:10" x14ac:dyDescent="0.25">
      <c r="A3" s="10" t="s">
        <v>2</v>
      </c>
      <c r="B3" s="21" t="s">
        <v>19</v>
      </c>
      <c r="D3" t="s">
        <v>75</v>
      </c>
    </row>
    <row r="4" spans="1:10" x14ac:dyDescent="0.25">
      <c r="A4" s="10" t="s">
        <v>3</v>
      </c>
    </row>
    <row r="6" spans="1:10" x14ac:dyDescent="0.25">
      <c r="A6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D8" s="26">
        <v>33500</v>
      </c>
    </row>
    <row r="9" spans="1:10" x14ac:dyDescent="0.25">
      <c r="F9" s="8"/>
      <c r="H9" s="8"/>
    </row>
    <row r="12" spans="1:10" x14ac:dyDescent="0.25">
      <c r="A12" s="3"/>
    </row>
    <row r="13" spans="1:10" x14ac:dyDescent="0.25">
      <c r="A13" s="3"/>
    </row>
    <row r="14" spans="1:10" x14ac:dyDescent="0.25">
      <c r="A14" s="3"/>
    </row>
    <row r="15" spans="1:10" x14ac:dyDescent="0.25">
      <c r="A15" s="3"/>
    </row>
    <row r="16" spans="1:10" x14ac:dyDescent="0.25">
      <c r="A16" s="3"/>
    </row>
    <row r="17" spans="1:10" x14ac:dyDescent="0.25">
      <c r="A17" s="3"/>
      <c r="G17" s="8"/>
      <c r="J17" s="8"/>
    </row>
  </sheetData>
  <mergeCells count="2">
    <mergeCell ref="B6:D6"/>
    <mergeCell ref="E6:G6"/>
  </mergeCells>
  <hyperlinks>
    <hyperlink ref="B3" location="SUMMARY!A1" display="Dcn Philip Dauda" xr:uid="{1EF9DE1F-3A0C-45B6-8605-907E7600220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D4B0-E5C8-4EEE-860D-ACC2EBFAD7CB}">
  <dimension ref="A1:J55"/>
  <sheetViews>
    <sheetView workbookViewId="0"/>
  </sheetViews>
  <sheetFormatPr defaultRowHeight="15" x14ac:dyDescent="0.25"/>
  <cols>
    <col min="1" max="1" width="11.1406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21</v>
      </c>
      <c r="D3" t="s">
        <v>76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</sheetData>
  <mergeCells count="2">
    <mergeCell ref="B6:D6"/>
    <mergeCell ref="E6:G6"/>
  </mergeCells>
  <hyperlinks>
    <hyperlink ref="B3" location="SUMMARY!A1" display="Dcn Jeremiah Dauda" xr:uid="{246BA38A-260B-4AFA-AEF3-691AD0F37F0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57BD-5C70-4C83-96FC-7316DC3F8133}">
  <dimension ref="A1:J2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"/>
    </sheetView>
  </sheetViews>
  <sheetFormatPr defaultRowHeight="15" x14ac:dyDescent="0.25"/>
  <cols>
    <col min="1" max="1" width="12.42578125" customWidth="1"/>
    <col min="2" max="2" width="9.5703125" style="5" bestFit="1" customWidth="1"/>
    <col min="3" max="3" width="10.5703125" style="5" bestFit="1" customWidth="1"/>
    <col min="4" max="4" width="13.5703125" style="5" customWidth="1"/>
    <col min="5" max="6" width="10.5703125" style="5" bestFit="1" customWidth="1"/>
    <col min="7" max="7" width="14" style="5" bestFit="1" customWidth="1"/>
    <col min="8" max="8" width="9.5703125" style="5" bestFit="1" customWidth="1"/>
    <col min="9" max="9" width="9.140625" style="5"/>
    <col min="10" max="10" width="9.5703125" style="5" bestFit="1" customWidth="1"/>
  </cols>
  <sheetData>
    <row r="1" spans="1:10" x14ac:dyDescent="0.25">
      <c r="A1" s="10" t="s">
        <v>0</v>
      </c>
    </row>
    <row r="2" spans="1:10" x14ac:dyDescent="0.25">
      <c r="A2" s="10" t="s">
        <v>1</v>
      </c>
    </row>
    <row r="3" spans="1:10" x14ac:dyDescent="0.25">
      <c r="A3" s="10" t="s">
        <v>2</v>
      </c>
      <c r="B3" s="19" t="s">
        <v>39</v>
      </c>
      <c r="D3" t="s">
        <v>77</v>
      </c>
    </row>
    <row r="4" spans="1:10" x14ac:dyDescent="0.25">
      <c r="A4" s="10" t="s">
        <v>3</v>
      </c>
    </row>
    <row r="5" spans="1:10" x14ac:dyDescent="0.25">
      <c r="A5" s="1" t="s">
        <v>13</v>
      </c>
      <c r="C5" s="5">
        <v>1000</v>
      </c>
    </row>
    <row r="6" spans="1:10" x14ac:dyDescent="0.25">
      <c r="A6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G8" s="5">
        <v>-1033243.32</v>
      </c>
    </row>
    <row r="9" spans="1:10" x14ac:dyDescent="0.25">
      <c r="A9" s="3">
        <v>45879</v>
      </c>
      <c r="E9" s="5">
        <v>30000</v>
      </c>
      <c r="G9" s="5">
        <f>+G8+E9</f>
        <v>-1003243.32</v>
      </c>
    </row>
    <row r="10" spans="1:10" x14ac:dyDescent="0.25">
      <c r="A10" s="3">
        <v>46087</v>
      </c>
      <c r="E10" s="5">
        <v>80000</v>
      </c>
      <c r="G10" s="5">
        <f>G9+E10</f>
        <v>-923243.32</v>
      </c>
    </row>
    <row r="11" spans="1:10" x14ac:dyDescent="0.25">
      <c r="A11" s="3"/>
    </row>
    <row r="12" spans="1:10" x14ac:dyDescent="0.25">
      <c r="A12" s="3"/>
    </row>
    <row r="13" spans="1:10" x14ac:dyDescent="0.25">
      <c r="A13" s="3"/>
    </row>
    <row r="14" spans="1:10" x14ac:dyDescent="0.25">
      <c r="A14" s="3"/>
    </row>
    <row r="15" spans="1:10" x14ac:dyDescent="0.25">
      <c r="A15" s="3"/>
    </row>
    <row r="22" spans="1:10" x14ac:dyDescent="0.25">
      <c r="A22" s="3"/>
      <c r="D22" s="5">
        <f>D15</f>
        <v>0</v>
      </c>
      <c r="G22" s="5">
        <f>G15</f>
        <v>0</v>
      </c>
      <c r="J22" s="5">
        <f>J15</f>
        <v>0</v>
      </c>
    </row>
  </sheetData>
  <mergeCells count="2">
    <mergeCell ref="B6:D6"/>
    <mergeCell ref="E6:G6"/>
  </mergeCells>
  <conditionalFormatting sqref="B3">
    <cfRule type="duplicateValues" dxfId="55" priority="1"/>
  </conditionalFormatting>
  <hyperlinks>
    <hyperlink ref="B3" location="SUMMARY!A1" display="Dcn. U.O. Uwem" xr:uid="{316D5C2A-86B0-41F1-8D23-C237908B0B89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F801-DECC-42FA-91A0-61D149ABA2F5}">
  <dimension ref="A1:J3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3.85546875" style="14" customWidth="1"/>
    <col min="2" max="2" width="10.5703125" style="5" bestFit="1" customWidth="1"/>
    <col min="3" max="4" width="11.5703125" style="5" bestFit="1" customWidth="1"/>
    <col min="5" max="5" width="10.5703125" style="5" bestFit="1" customWidth="1"/>
    <col min="6" max="6" width="11.5703125" style="5" bestFit="1" customWidth="1"/>
    <col min="7" max="9" width="10.5703125" style="5" bestFit="1" customWidth="1"/>
    <col min="10" max="10" width="9.5703125" style="5" bestFit="1" customWidth="1"/>
  </cols>
  <sheetData>
    <row r="1" spans="1:10" x14ac:dyDescent="0.25">
      <c r="A1" s="13" t="s">
        <v>0</v>
      </c>
    </row>
    <row r="2" spans="1:10" x14ac:dyDescent="0.25">
      <c r="A2" s="13" t="s">
        <v>1</v>
      </c>
    </row>
    <row r="3" spans="1:10" x14ac:dyDescent="0.25">
      <c r="A3" s="13" t="s">
        <v>2</v>
      </c>
      <c r="B3" s="19" t="s">
        <v>20</v>
      </c>
      <c r="D3" t="s">
        <v>78</v>
      </c>
    </row>
    <row r="4" spans="1:10" x14ac:dyDescent="0.25">
      <c r="A4" s="1" t="s">
        <v>3</v>
      </c>
    </row>
    <row r="5" spans="1:10" x14ac:dyDescent="0.25">
      <c r="A5" s="1" t="s">
        <v>13</v>
      </c>
      <c r="C5" s="5">
        <v>1000</v>
      </c>
    </row>
    <row r="6" spans="1:10" x14ac:dyDescent="0.25">
      <c r="A6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D8" s="5">
        <v>543500</v>
      </c>
    </row>
    <row r="9" spans="1:10" x14ac:dyDescent="0.25">
      <c r="A9" s="15">
        <v>46136</v>
      </c>
      <c r="C9" s="5">
        <v>100000</v>
      </c>
      <c r="D9" s="5">
        <f>+D8+C9</f>
        <v>643500</v>
      </c>
    </row>
    <row r="23" spans="1:5" x14ac:dyDescent="0.25">
      <c r="A23" s="15"/>
    </row>
    <row r="24" spans="1:5" x14ac:dyDescent="0.25">
      <c r="A24" s="15"/>
      <c r="D24" s="8"/>
    </row>
    <row r="25" spans="1:5" x14ac:dyDescent="0.25">
      <c r="A25" s="15"/>
    </row>
    <row r="26" spans="1:5" x14ac:dyDescent="0.25">
      <c r="A26" s="15"/>
    </row>
    <row r="27" spans="1:5" x14ac:dyDescent="0.25">
      <c r="A27" s="15"/>
    </row>
    <row r="28" spans="1:5" x14ac:dyDescent="0.25">
      <c r="A28" s="15"/>
    </row>
    <row r="29" spans="1:5" x14ac:dyDescent="0.25">
      <c r="A29" s="15"/>
    </row>
    <row r="30" spans="1:5" x14ac:dyDescent="0.25">
      <c r="A30" s="15"/>
      <c r="D30" s="8"/>
      <c r="E30" s="8"/>
    </row>
    <row r="31" spans="1:5" x14ac:dyDescent="0.25">
      <c r="A31" s="15"/>
    </row>
    <row r="32" spans="1:5" x14ac:dyDescent="0.25">
      <c r="A32" s="15"/>
    </row>
    <row r="33" spans="1:1" x14ac:dyDescent="0.25">
      <c r="A33" s="15"/>
    </row>
    <row r="34" spans="1:1" x14ac:dyDescent="0.25">
      <c r="A34" s="15"/>
    </row>
    <row r="35" spans="1:1" x14ac:dyDescent="0.25">
      <c r="A35" s="15"/>
    </row>
    <row r="36" spans="1:1" x14ac:dyDescent="0.25">
      <c r="A36" s="15"/>
    </row>
  </sheetData>
  <mergeCells count="2">
    <mergeCell ref="B6:D6"/>
    <mergeCell ref="E6:G6"/>
  </mergeCells>
  <hyperlinks>
    <hyperlink ref="B3" location="SUMMARY!A1" display="Dns J.B. Odeyemi" xr:uid="{69209EC3-FD98-48DF-8E4F-D89149BBE67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0912-2360-4C78-9F14-5D596DA86AE6}">
  <dimension ref="A1:J170"/>
  <sheetViews>
    <sheetView workbookViewId="0">
      <selection activeCell="D9" sqref="D9"/>
    </sheetView>
  </sheetViews>
  <sheetFormatPr defaultRowHeight="15" x14ac:dyDescent="0.25"/>
  <cols>
    <col min="1" max="1" width="11" customWidth="1"/>
    <col min="4" max="4" width="12.5703125" bestFit="1" customWidth="1"/>
    <col min="5" max="5" width="10.5703125" bestFit="1" customWidth="1"/>
    <col min="6" max="7" width="11.5703125" bestFit="1" customWidth="1"/>
    <col min="8" max="10" width="10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24</v>
      </c>
      <c r="D3" t="s">
        <v>79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312750</v>
      </c>
      <c r="E8" s="5"/>
      <c r="F8" s="5"/>
      <c r="G8" s="5"/>
      <c r="H8" s="5"/>
      <c r="I8" s="5"/>
      <c r="J8" s="5"/>
    </row>
    <row r="9" spans="1:10" x14ac:dyDescent="0.25">
      <c r="A9" s="3">
        <v>46077</v>
      </c>
      <c r="B9" s="5"/>
      <c r="C9" s="5"/>
      <c r="D9" s="5"/>
      <c r="E9" s="5"/>
      <c r="F9" s="5">
        <v>500000</v>
      </c>
      <c r="G9" s="5">
        <f>F9</f>
        <v>500000</v>
      </c>
      <c r="H9" s="5">
        <v>25000</v>
      </c>
      <c r="I9" s="5"/>
      <c r="J9" s="5">
        <f>H9</f>
        <v>25000</v>
      </c>
    </row>
    <row r="10" spans="1:10" x14ac:dyDescent="0.25">
      <c r="A10" s="3">
        <v>46143</v>
      </c>
      <c r="B10" s="5"/>
      <c r="C10" s="5"/>
      <c r="D10" s="5"/>
      <c r="E10" s="5">
        <v>75000</v>
      </c>
      <c r="F10" s="5"/>
      <c r="G10" s="5">
        <f>G9-E10</f>
        <v>425000</v>
      </c>
      <c r="H10" s="5"/>
      <c r="I10" s="5">
        <v>25000</v>
      </c>
      <c r="J10" s="5">
        <f>J9-I10</f>
        <v>0</v>
      </c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</sheetData>
  <mergeCells count="2">
    <mergeCell ref="B6:D6"/>
    <mergeCell ref="E6:G6"/>
  </mergeCells>
  <conditionalFormatting sqref="B3">
    <cfRule type="duplicateValues" dxfId="54" priority="1"/>
  </conditionalFormatting>
  <hyperlinks>
    <hyperlink ref="B3" location="SUMMARY!A1" display="Dns. V.Y. Olutola" xr:uid="{359793B4-8335-4CDF-BA22-7436AAB6F98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6636-8C83-40B1-AF40-C8BF66567E24}">
  <dimension ref="A1:J18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"/>
    </sheetView>
  </sheetViews>
  <sheetFormatPr defaultRowHeight="15" x14ac:dyDescent="0.25"/>
  <cols>
    <col min="1" max="1" width="14.28515625" customWidth="1"/>
    <col min="2" max="7" width="10.5703125" style="5" bestFit="1" customWidth="1"/>
    <col min="8" max="10" width="9.5703125" style="5" bestFit="1" customWidth="1"/>
  </cols>
  <sheetData>
    <row r="1" spans="1:10" x14ac:dyDescent="0.25">
      <c r="A1" s="10" t="s">
        <v>0</v>
      </c>
    </row>
    <row r="2" spans="1:10" x14ac:dyDescent="0.25">
      <c r="A2" s="10" t="s">
        <v>1</v>
      </c>
    </row>
    <row r="3" spans="1:10" x14ac:dyDescent="0.25">
      <c r="A3" s="10" t="s">
        <v>2</v>
      </c>
      <c r="B3" s="19" t="s">
        <v>32</v>
      </c>
      <c r="D3" s="8" t="s">
        <v>80</v>
      </c>
    </row>
    <row r="4" spans="1:10" x14ac:dyDescent="0.25">
      <c r="A4" s="10" t="s">
        <v>3</v>
      </c>
    </row>
    <row r="5" spans="1:10" x14ac:dyDescent="0.25">
      <c r="A5" s="1" t="s">
        <v>13</v>
      </c>
      <c r="C5" s="5">
        <v>2000</v>
      </c>
    </row>
    <row r="6" spans="1:10" x14ac:dyDescent="0.25">
      <c r="A6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D8" s="5">
        <v>0</v>
      </c>
    </row>
    <row r="9" spans="1:10" x14ac:dyDescent="0.25">
      <c r="A9" s="3">
        <v>46049</v>
      </c>
      <c r="C9" s="5">
        <v>3000</v>
      </c>
      <c r="D9" s="5">
        <f>+D8+C9</f>
        <v>3000</v>
      </c>
    </row>
    <row r="11" spans="1:10" x14ac:dyDescent="0.25">
      <c r="A11" s="3"/>
    </row>
    <row r="12" spans="1:10" x14ac:dyDescent="0.25">
      <c r="A12" s="3"/>
    </row>
    <row r="13" spans="1:10" x14ac:dyDescent="0.25">
      <c r="A13" s="3"/>
    </row>
    <row r="14" spans="1:10" x14ac:dyDescent="0.25">
      <c r="A14" s="3"/>
      <c r="H14" s="8"/>
      <c r="J14" s="8"/>
    </row>
    <row r="15" spans="1:10" x14ac:dyDescent="0.25">
      <c r="A15" s="3"/>
    </row>
    <row r="16" spans="1:10" x14ac:dyDescent="0.25">
      <c r="A16" s="3"/>
    </row>
    <row r="17" spans="1:1" x14ac:dyDescent="0.25">
      <c r="A17" s="3"/>
    </row>
    <row r="18" spans="1:1" x14ac:dyDescent="0.25">
      <c r="A18" s="3"/>
    </row>
  </sheetData>
  <mergeCells count="2">
    <mergeCell ref="B6:D6"/>
    <mergeCell ref="E6:G6"/>
  </mergeCells>
  <conditionalFormatting sqref="B3">
    <cfRule type="duplicateValues" dxfId="53" priority="1"/>
  </conditionalFormatting>
  <hyperlinks>
    <hyperlink ref="B3" location="SUMMARY!A1" display="Dns. F.F. Ayeni" xr:uid="{E9C236C2-52B7-4273-BDCD-55EE88980BAE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70B6-581D-4011-9F13-02DB597556D9}">
  <dimension ref="A1:J129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3.5703125" customWidth="1"/>
    <col min="3" max="3" width="9.5703125" bestFit="1" customWidth="1"/>
    <col min="4" max="4" width="11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125</v>
      </c>
      <c r="D3" t="s">
        <v>81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119500</v>
      </c>
      <c r="E8" s="5"/>
      <c r="F8" s="5"/>
      <c r="G8" s="5"/>
      <c r="H8" s="5"/>
      <c r="I8" s="5"/>
      <c r="J8" s="5"/>
    </row>
    <row r="9" spans="1:10" x14ac:dyDescent="0.25">
      <c r="A9" s="3">
        <v>46060</v>
      </c>
      <c r="B9" s="5"/>
      <c r="C9" s="5">
        <v>1000</v>
      </c>
      <c r="D9" s="5">
        <f>+D8+C9</f>
        <v>120500</v>
      </c>
      <c r="E9" s="5"/>
      <c r="F9" s="5"/>
      <c r="G9" s="5"/>
      <c r="H9" s="5"/>
      <c r="I9" s="5"/>
      <c r="J9" s="5"/>
    </row>
    <row r="10" spans="1:10" x14ac:dyDescent="0.25">
      <c r="A10" s="3">
        <v>46124</v>
      </c>
      <c r="B10" s="5"/>
      <c r="C10" s="5">
        <v>4000</v>
      </c>
      <c r="D10" s="5">
        <f>+D9+C10</f>
        <v>124500</v>
      </c>
      <c r="E10" s="5"/>
      <c r="F10" s="5"/>
      <c r="G10" s="5"/>
      <c r="H10" s="5"/>
      <c r="I10" s="5"/>
      <c r="J10" s="5"/>
    </row>
    <row r="11" spans="1:10" x14ac:dyDescent="0.25">
      <c r="A11" s="3">
        <v>46152</v>
      </c>
      <c r="B11" s="5"/>
      <c r="C11" s="5">
        <v>4000</v>
      </c>
      <c r="D11" s="5">
        <f>+D10+C11</f>
        <v>128500</v>
      </c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</sheetData>
  <mergeCells count="2">
    <mergeCell ref="B6:D6"/>
    <mergeCell ref="E6:G6"/>
  </mergeCells>
  <hyperlinks>
    <hyperlink ref="B3" location="SUMMARY!A1" display="Dcns E.O. Leramo" xr:uid="{9BF438F5-E8E8-4E29-8B78-2C2954375E6F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E4D9-6051-4201-B1E6-7D78F3D835AB}">
  <dimension ref="A1:J8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9" sqref="D9"/>
    </sheetView>
  </sheetViews>
  <sheetFormatPr defaultRowHeight="15" x14ac:dyDescent="0.25"/>
  <cols>
    <col min="1" max="1" width="13.140625" customWidth="1"/>
    <col min="2" max="2" width="9.140625" style="5"/>
    <col min="3" max="3" width="13.28515625" style="5" customWidth="1"/>
    <col min="4" max="4" width="11.5703125" style="5" bestFit="1" customWidth="1"/>
    <col min="5" max="10" width="9.140625" style="5"/>
  </cols>
  <sheetData>
    <row r="1" spans="1:10" x14ac:dyDescent="0.25">
      <c r="A1" s="10" t="s">
        <v>0</v>
      </c>
    </row>
    <row r="2" spans="1:10" x14ac:dyDescent="0.25">
      <c r="A2" s="10" t="s">
        <v>1</v>
      </c>
    </row>
    <row r="3" spans="1:10" x14ac:dyDescent="0.25">
      <c r="A3" s="10" t="s">
        <v>2</v>
      </c>
      <c r="B3" s="19" t="s">
        <v>106</v>
      </c>
      <c r="D3" t="s">
        <v>82</v>
      </c>
    </row>
    <row r="4" spans="1:10" x14ac:dyDescent="0.25">
      <c r="A4" s="10" t="s">
        <v>3</v>
      </c>
    </row>
    <row r="5" spans="1:10" x14ac:dyDescent="0.25">
      <c r="A5" s="1" t="s">
        <v>13</v>
      </c>
      <c r="C5" s="5">
        <v>1000</v>
      </c>
    </row>
    <row r="6" spans="1:10" x14ac:dyDescent="0.25">
      <c r="A6" t="s">
        <v>4</v>
      </c>
      <c r="B6" s="29" t="s">
        <v>5</v>
      </c>
      <c r="C6" s="29"/>
      <c r="D6" s="29"/>
      <c r="E6" s="29" t="s">
        <v>9</v>
      </c>
      <c r="F6" s="29"/>
      <c r="G6" s="29"/>
      <c r="H6" s="5" t="s">
        <v>10</v>
      </c>
    </row>
    <row r="7" spans="1:10" x14ac:dyDescent="0.25">
      <c r="B7" s="5" t="s">
        <v>6</v>
      </c>
      <c r="C7" s="5" t="s">
        <v>7</v>
      </c>
      <c r="D7" s="5" t="s">
        <v>8</v>
      </c>
      <c r="E7" s="5" t="s">
        <v>6</v>
      </c>
      <c r="F7" s="5" t="s">
        <v>7</v>
      </c>
      <c r="G7" s="5" t="s">
        <v>8</v>
      </c>
      <c r="H7" s="5" t="s">
        <v>6</v>
      </c>
      <c r="I7" s="5" t="s">
        <v>7</v>
      </c>
      <c r="J7" s="5" t="s">
        <v>8</v>
      </c>
    </row>
    <row r="8" spans="1:10" x14ac:dyDescent="0.25">
      <c r="A8" s="3">
        <v>45747</v>
      </c>
      <c r="D8" s="5">
        <v>0</v>
      </c>
    </row>
  </sheetData>
  <mergeCells count="2">
    <mergeCell ref="B6:D6"/>
    <mergeCell ref="E6:G6"/>
  </mergeCells>
  <conditionalFormatting sqref="B3">
    <cfRule type="duplicateValues" dxfId="52" priority="1"/>
  </conditionalFormatting>
  <hyperlinks>
    <hyperlink ref="B3" location="SUMMARY!A1" display="Dns Balogun Blessing I." xr:uid="{4AF4FD67-AB55-4B39-A1CD-C3FE0C63C7F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8893-CE0E-4E0C-9AA1-200F2EC1AF54}">
  <dimension ref="A1:J231"/>
  <sheetViews>
    <sheetView workbookViewId="0">
      <selection activeCell="B3" sqref="B3"/>
    </sheetView>
  </sheetViews>
  <sheetFormatPr defaultRowHeight="15" x14ac:dyDescent="0.25"/>
  <cols>
    <col min="1" max="1" width="11" customWidth="1"/>
    <col min="4" max="4" width="10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28</v>
      </c>
      <c r="D3" t="s">
        <v>83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17215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</sheetData>
  <mergeCells count="2">
    <mergeCell ref="B6:D6"/>
    <mergeCell ref="E6:G6"/>
  </mergeCells>
  <conditionalFormatting sqref="B3">
    <cfRule type="duplicateValues" dxfId="51" priority="1"/>
  </conditionalFormatting>
  <hyperlinks>
    <hyperlink ref="B3" location="SUMMARY!A1" display="Dns. O.O. Evbotokhai" xr:uid="{AA98D2C0-D63F-46D6-A1EA-8003E082E60F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8AD3-B845-4A31-BEEA-AF6F8ACE219F}">
  <dimension ref="A1:J13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"/>
    </sheetView>
  </sheetViews>
  <sheetFormatPr defaultRowHeight="15" x14ac:dyDescent="0.25"/>
  <cols>
    <col min="1" max="1" width="10.7109375" bestFit="1" customWidth="1"/>
    <col min="2" max="2" width="11.5703125" bestFit="1" customWidth="1"/>
    <col min="3" max="3" width="10.28515625" customWidth="1"/>
    <col min="4" max="7" width="11.5703125" bestFit="1" customWidth="1"/>
    <col min="8" max="10" width="10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25</v>
      </c>
      <c r="C3" s="5"/>
      <c r="D3" t="s">
        <v>84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9000</v>
      </c>
      <c r="E8" s="5"/>
      <c r="F8" s="5"/>
      <c r="G8" s="5"/>
      <c r="H8" s="5"/>
      <c r="I8" s="5"/>
      <c r="J8" s="5"/>
    </row>
    <row r="9" spans="1:10" x14ac:dyDescent="0.25">
      <c r="A9" s="3">
        <v>46151</v>
      </c>
      <c r="B9" s="5"/>
      <c r="C9" s="5">
        <v>4000</v>
      </c>
      <c r="D9" s="5">
        <f>+D8+C9</f>
        <v>13000</v>
      </c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B35" s="5"/>
      <c r="C35" s="5"/>
      <c r="D35" s="5"/>
      <c r="E35" s="5"/>
      <c r="F35" s="5"/>
      <c r="G35" s="5"/>
      <c r="H35" s="5"/>
      <c r="I35" s="8"/>
      <c r="J35" s="5"/>
    </row>
    <row r="36" spans="1:10" x14ac:dyDescent="0.25">
      <c r="B36" s="5"/>
      <c r="C36" s="5"/>
      <c r="D36" s="8"/>
      <c r="E36" s="5"/>
      <c r="F36" s="5"/>
      <c r="G36" s="5"/>
      <c r="H36" s="5"/>
      <c r="I36" s="5"/>
      <c r="J36" s="5"/>
    </row>
    <row r="37" spans="1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3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3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3"/>
      <c r="B43" s="5"/>
      <c r="C43" s="5"/>
      <c r="D43" s="8"/>
      <c r="E43" s="5"/>
      <c r="F43" s="5"/>
      <c r="G43" s="5"/>
      <c r="H43" s="5"/>
      <c r="I43" s="5"/>
      <c r="J43" s="5"/>
    </row>
    <row r="44" spans="1:10" x14ac:dyDescent="0.25">
      <c r="A44" s="3"/>
      <c r="B44" s="5"/>
      <c r="C44" s="5"/>
      <c r="D44" s="8"/>
      <c r="E44" s="5"/>
      <c r="F44" s="5"/>
      <c r="G44" s="5"/>
      <c r="H44" s="5"/>
      <c r="I44" s="5"/>
      <c r="J44" s="5"/>
    </row>
    <row r="45" spans="1:10" x14ac:dyDescent="0.25">
      <c r="A45" s="3"/>
      <c r="B45" s="5"/>
      <c r="C45" s="5"/>
      <c r="D45" s="8"/>
      <c r="E45" s="5"/>
      <c r="F45" s="5"/>
      <c r="G45" s="5"/>
      <c r="H45" s="5"/>
      <c r="I45" s="5"/>
      <c r="J45" s="5"/>
    </row>
    <row r="46" spans="1:10" x14ac:dyDescent="0.25">
      <c r="A46" s="3"/>
      <c r="B46" s="5"/>
      <c r="C46" s="5"/>
      <c r="D46" s="8"/>
      <c r="E46" s="5"/>
      <c r="F46" s="5"/>
      <c r="G46" s="5"/>
      <c r="H46" s="5"/>
      <c r="I46" s="5"/>
      <c r="J46" s="5"/>
    </row>
    <row r="47" spans="1:10" x14ac:dyDescent="0.25">
      <c r="A47" s="3"/>
      <c r="B47" s="5"/>
      <c r="C47" s="5"/>
      <c r="D47" s="8"/>
      <c r="E47" s="5"/>
      <c r="F47" s="5"/>
      <c r="G47" s="5"/>
      <c r="H47" s="5"/>
      <c r="I47" s="5"/>
      <c r="J47" s="5"/>
    </row>
    <row r="48" spans="1:10" x14ac:dyDescent="0.25">
      <c r="A48" s="3"/>
      <c r="B48" s="5"/>
      <c r="C48" s="5"/>
      <c r="D48" s="8"/>
      <c r="E48" s="5"/>
      <c r="F48" s="5"/>
      <c r="G48" s="5"/>
      <c r="H48" s="5"/>
      <c r="I48" s="5"/>
      <c r="J48" s="5"/>
    </row>
    <row r="49" spans="1:10" x14ac:dyDescent="0.25">
      <c r="A49" s="3"/>
      <c r="B49" s="5"/>
      <c r="C49" s="5"/>
      <c r="D49" s="8"/>
      <c r="E49" s="5"/>
      <c r="F49" s="5"/>
      <c r="G49" s="5"/>
      <c r="H49" s="5"/>
      <c r="I49" s="5"/>
      <c r="J49" s="5"/>
    </row>
    <row r="50" spans="1:10" x14ac:dyDescent="0.25">
      <c r="A50" s="3"/>
      <c r="B50" s="5"/>
      <c r="C50" s="5"/>
      <c r="D50" s="8"/>
      <c r="E50" s="5"/>
      <c r="F50" s="5"/>
      <c r="G50" s="5"/>
      <c r="H50" s="5"/>
      <c r="I50" s="5"/>
      <c r="J50" s="5"/>
    </row>
    <row r="51" spans="1:10" x14ac:dyDescent="0.25">
      <c r="A51" s="3"/>
      <c r="B51" s="5"/>
      <c r="C51" s="5"/>
      <c r="D51" s="8"/>
      <c r="E51" s="5"/>
      <c r="F51" s="5"/>
      <c r="G51" s="5"/>
      <c r="H51" s="5"/>
      <c r="I51" s="5"/>
      <c r="J51" s="5"/>
    </row>
    <row r="52" spans="1:10" x14ac:dyDescent="0.25">
      <c r="A52" s="3"/>
      <c r="B52" s="5"/>
      <c r="C52" s="5"/>
      <c r="D52" s="8"/>
      <c r="E52" s="5"/>
      <c r="F52" s="5"/>
      <c r="G52" s="5"/>
      <c r="H52" s="5"/>
      <c r="I52" s="5"/>
      <c r="J52" s="5"/>
    </row>
    <row r="53" spans="1:10" x14ac:dyDescent="0.25">
      <c r="A53" s="3"/>
      <c r="B53" s="5"/>
      <c r="C53" s="5"/>
      <c r="D53" s="8"/>
      <c r="E53" s="5"/>
      <c r="F53" s="5"/>
      <c r="G53" s="5"/>
      <c r="H53" s="5"/>
      <c r="I53" s="5"/>
      <c r="J53" s="5"/>
    </row>
    <row r="54" spans="1:10" x14ac:dyDescent="0.25">
      <c r="A54" s="3"/>
      <c r="B54" s="5"/>
      <c r="C54" s="5"/>
      <c r="D54" s="8"/>
      <c r="E54" s="5"/>
      <c r="F54" s="5"/>
      <c r="G54" s="5"/>
      <c r="H54" s="5"/>
      <c r="I54" s="5"/>
      <c r="J54" s="5"/>
    </row>
    <row r="55" spans="1:10" x14ac:dyDescent="0.25">
      <c r="A55" s="3"/>
      <c r="B55" s="5"/>
      <c r="C55" s="5"/>
      <c r="D55" s="8"/>
      <c r="E55" s="5"/>
      <c r="F55" s="5"/>
      <c r="G55" s="5"/>
      <c r="H55" s="5"/>
      <c r="I55" s="5"/>
      <c r="J55" s="5"/>
    </row>
    <row r="56" spans="1:10" x14ac:dyDescent="0.25">
      <c r="A56" s="3"/>
      <c r="B56" s="5"/>
      <c r="C56" s="5"/>
      <c r="D56" s="8"/>
      <c r="E56" s="5"/>
      <c r="F56" s="5"/>
      <c r="G56" s="5"/>
      <c r="H56" s="5"/>
      <c r="I56" s="5"/>
      <c r="J56" s="5"/>
    </row>
    <row r="57" spans="1:10" x14ac:dyDescent="0.25">
      <c r="A57" s="3"/>
      <c r="B57" s="5"/>
      <c r="C57" s="5"/>
      <c r="D57" s="8"/>
      <c r="E57" s="5"/>
      <c r="F57" s="5"/>
      <c r="G57" s="5"/>
      <c r="H57" s="5"/>
      <c r="I57" s="5"/>
      <c r="J57" s="5"/>
    </row>
    <row r="58" spans="1:10" x14ac:dyDescent="0.25">
      <c r="A58" s="3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3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3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3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3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3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3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3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3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3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3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3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3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3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</sheetData>
  <phoneticPr fontId="3" type="noConversion"/>
  <conditionalFormatting sqref="B3">
    <cfRule type="duplicateValues" dxfId="50" priority="1"/>
  </conditionalFormatting>
  <hyperlinks>
    <hyperlink ref="B3" location="SUMMARY!A1" display="Dns. A.M. Adeagbo" xr:uid="{1854DAE8-4F0E-4A00-AC74-490F4696AB9D}"/>
  </hyperlinks>
  <pageMargins left="0.7" right="0.7" top="0.75" bottom="0.75" header="0.3" footer="0.3"/>
  <pageSetup orientation="portrait" horizontalDpi="180" verticalDpi="18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0327-12C5-469D-BBBE-ECF10B18741E}">
  <dimension ref="A1:J82"/>
  <sheetViews>
    <sheetView workbookViewId="0">
      <selection activeCell="B3" sqref="B3"/>
    </sheetView>
  </sheetViews>
  <sheetFormatPr defaultRowHeight="15" x14ac:dyDescent="0.25"/>
  <cols>
    <col min="1" max="1" width="11.5703125" customWidth="1"/>
    <col min="3" max="4" width="9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29</v>
      </c>
      <c r="D3" t="s">
        <v>85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2000</v>
      </c>
      <c r="E8" s="5"/>
      <c r="F8" s="5"/>
      <c r="G8" s="5"/>
      <c r="H8" s="5"/>
      <c r="I8" s="5"/>
      <c r="J8" s="5"/>
    </row>
    <row r="9" spans="1:10" x14ac:dyDescent="0.25">
      <c r="A9" s="3">
        <v>46142</v>
      </c>
      <c r="B9" s="5"/>
      <c r="C9" s="5">
        <v>5000</v>
      </c>
      <c r="D9" s="5">
        <f>+D8+C9</f>
        <v>7000</v>
      </c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</sheetData>
  <mergeCells count="2">
    <mergeCell ref="B6:D6"/>
    <mergeCell ref="E6:G6"/>
  </mergeCells>
  <conditionalFormatting sqref="B3">
    <cfRule type="duplicateValues" dxfId="49" priority="1"/>
  </conditionalFormatting>
  <hyperlinks>
    <hyperlink ref="B3" location="SUMMARY!A1" display="Dns. M.B. Adeleye" xr:uid="{DCF7204D-195A-4F15-ABB6-1BB0AC979444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D936-02DA-4B28-A991-E63ACD5C090B}">
  <dimension ref="A1:J403"/>
  <sheetViews>
    <sheetView workbookViewId="0">
      <selection activeCell="B3" sqref="B3"/>
    </sheetView>
  </sheetViews>
  <sheetFormatPr defaultRowHeight="15" x14ac:dyDescent="0.25"/>
  <cols>
    <col min="1" max="1" width="11.28515625" customWidth="1"/>
    <col min="3" max="3" width="10.28515625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26</v>
      </c>
      <c r="C3" s="5"/>
      <c r="D3" t="s">
        <v>86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9500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  <row r="369" spans="2:10" x14ac:dyDescent="0.25">
      <c r="B369" s="5"/>
      <c r="C369" s="5"/>
      <c r="D369" s="5"/>
      <c r="E369" s="5"/>
      <c r="F369" s="5"/>
      <c r="G369" s="5"/>
      <c r="H369" s="5"/>
      <c r="I369" s="5"/>
      <c r="J369" s="5"/>
    </row>
    <row r="370" spans="2:10" x14ac:dyDescent="0.25">
      <c r="B370" s="5"/>
      <c r="C370" s="5"/>
      <c r="D370" s="5"/>
      <c r="E370" s="5"/>
      <c r="F370" s="5"/>
      <c r="G370" s="5"/>
      <c r="H370" s="5"/>
      <c r="I370" s="5"/>
      <c r="J370" s="5"/>
    </row>
    <row r="371" spans="2:10" x14ac:dyDescent="0.25">
      <c r="B371" s="5"/>
      <c r="C371" s="5"/>
      <c r="D371" s="5"/>
      <c r="E371" s="5"/>
      <c r="F371" s="5"/>
      <c r="G371" s="5"/>
      <c r="H371" s="5"/>
      <c r="I371" s="5"/>
      <c r="J371" s="5"/>
    </row>
    <row r="372" spans="2:10" x14ac:dyDescent="0.25">
      <c r="B372" s="5"/>
      <c r="C372" s="5"/>
      <c r="D372" s="5"/>
      <c r="E372" s="5"/>
      <c r="F372" s="5"/>
      <c r="G372" s="5"/>
      <c r="H372" s="5"/>
      <c r="I372" s="5"/>
      <c r="J372" s="5"/>
    </row>
    <row r="373" spans="2:10" x14ac:dyDescent="0.25">
      <c r="B373" s="5"/>
      <c r="C373" s="5"/>
      <c r="D373" s="5"/>
      <c r="E373" s="5"/>
      <c r="F373" s="5"/>
      <c r="G373" s="5"/>
      <c r="H373" s="5"/>
      <c r="I373" s="5"/>
      <c r="J373" s="5"/>
    </row>
    <row r="374" spans="2:10" x14ac:dyDescent="0.25">
      <c r="B374" s="5"/>
      <c r="C374" s="5"/>
      <c r="D374" s="5"/>
      <c r="E374" s="5"/>
      <c r="F374" s="5"/>
      <c r="G374" s="5"/>
      <c r="H374" s="5"/>
      <c r="I374" s="5"/>
      <c r="J374" s="5"/>
    </row>
    <row r="375" spans="2:10" x14ac:dyDescent="0.25">
      <c r="B375" s="5"/>
      <c r="C375" s="5"/>
      <c r="D375" s="5"/>
      <c r="E375" s="5"/>
      <c r="F375" s="5"/>
      <c r="G375" s="5"/>
      <c r="H375" s="5"/>
      <c r="I375" s="5"/>
      <c r="J375" s="5"/>
    </row>
    <row r="376" spans="2:10" x14ac:dyDescent="0.25">
      <c r="B376" s="5"/>
      <c r="C376" s="5"/>
      <c r="D376" s="5"/>
      <c r="E376" s="5"/>
      <c r="F376" s="5"/>
      <c r="G376" s="5"/>
      <c r="H376" s="5"/>
      <c r="I376" s="5"/>
      <c r="J376" s="5"/>
    </row>
    <row r="377" spans="2:10" x14ac:dyDescent="0.25">
      <c r="B377" s="5"/>
      <c r="C377" s="5"/>
      <c r="D377" s="5"/>
      <c r="E377" s="5"/>
      <c r="F377" s="5"/>
      <c r="G377" s="5"/>
      <c r="H377" s="5"/>
      <c r="I377" s="5"/>
      <c r="J377" s="5"/>
    </row>
    <row r="378" spans="2:10" x14ac:dyDescent="0.25">
      <c r="B378" s="5"/>
      <c r="C378" s="5"/>
      <c r="D378" s="5"/>
      <c r="E378" s="5"/>
      <c r="F378" s="5"/>
      <c r="G378" s="5"/>
      <c r="H378" s="5"/>
      <c r="I378" s="5"/>
      <c r="J378" s="5"/>
    </row>
    <row r="379" spans="2:10" x14ac:dyDescent="0.25">
      <c r="B379" s="5"/>
      <c r="C379" s="5"/>
      <c r="D379" s="5"/>
      <c r="E379" s="5"/>
      <c r="F379" s="5"/>
      <c r="G379" s="5"/>
      <c r="H379" s="5"/>
      <c r="I379" s="5"/>
      <c r="J379" s="5"/>
    </row>
    <row r="380" spans="2:10" x14ac:dyDescent="0.25">
      <c r="B380" s="5"/>
      <c r="C380" s="5"/>
      <c r="D380" s="5"/>
      <c r="E380" s="5"/>
      <c r="F380" s="5"/>
      <c r="G380" s="5"/>
      <c r="H380" s="5"/>
      <c r="I380" s="5"/>
      <c r="J380" s="5"/>
    </row>
    <row r="381" spans="2:10" x14ac:dyDescent="0.25">
      <c r="B381" s="5"/>
      <c r="C381" s="5"/>
      <c r="D381" s="5"/>
      <c r="E381" s="5"/>
      <c r="F381" s="5"/>
      <c r="G381" s="5"/>
      <c r="H381" s="5"/>
      <c r="I381" s="5"/>
      <c r="J381" s="5"/>
    </row>
    <row r="382" spans="2:10" x14ac:dyDescent="0.25">
      <c r="B382" s="5"/>
      <c r="C382" s="5"/>
      <c r="D382" s="5"/>
      <c r="E382" s="5"/>
      <c r="F382" s="5"/>
      <c r="G382" s="5"/>
      <c r="H382" s="5"/>
      <c r="I382" s="5"/>
      <c r="J382" s="5"/>
    </row>
    <row r="383" spans="2:10" x14ac:dyDescent="0.25">
      <c r="B383" s="5"/>
      <c r="C383" s="5"/>
      <c r="D383" s="5"/>
      <c r="E383" s="5"/>
      <c r="F383" s="5"/>
      <c r="G383" s="5"/>
      <c r="H383" s="5"/>
      <c r="I383" s="5"/>
      <c r="J383" s="5"/>
    </row>
    <row r="384" spans="2:10" x14ac:dyDescent="0.25">
      <c r="B384" s="5"/>
      <c r="C384" s="5"/>
      <c r="D384" s="5"/>
      <c r="E384" s="5"/>
      <c r="F384" s="5"/>
      <c r="G384" s="5"/>
      <c r="H384" s="5"/>
      <c r="I384" s="5"/>
      <c r="J384" s="5"/>
    </row>
    <row r="385" spans="2:10" x14ac:dyDescent="0.25">
      <c r="B385" s="5"/>
      <c r="C385" s="5"/>
      <c r="D385" s="5"/>
      <c r="E385" s="5"/>
      <c r="F385" s="5"/>
      <c r="G385" s="5"/>
      <c r="H385" s="5"/>
      <c r="I385" s="5"/>
      <c r="J385" s="5"/>
    </row>
    <row r="386" spans="2:10" x14ac:dyDescent="0.25">
      <c r="B386" s="5"/>
      <c r="C386" s="5"/>
      <c r="D386" s="5"/>
      <c r="E386" s="5"/>
      <c r="F386" s="5"/>
      <c r="G386" s="5"/>
      <c r="H386" s="5"/>
      <c r="I386" s="5"/>
      <c r="J386" s="5"/>
    </row>
    <row r="387" spans="2:10" x14ac:dyDescent="0.25">
      <c r="B387" s="5"/>
      <c r="C387" s="5"/>
      <c r="D387" s="5"/>
      <c r="E387" s="5"/>
      <c r="F387" s="5"/>
      <c r="G387" s="5"/>
      <c r="H387" s="5"/>
      <c r="I387" s="5"/>
      <c r="J387" s="5"/>
    </row>
    <row r="388" spans="2:10" x14ac:dyDescent="0.25">
      <c r="B388" s="5"/>
      <c r="C388" s="5"/>
      <c r="D388" s="5"/>
      <c r="E388" s="5"/>
      <c r="F388" s="5"/>
      <c r="G388" s="5"/>
      <c r="H388" s="5"/>
      <c r="I388" s="5"/>
      <c r="J388" s="5"/>
    </row>
    <row r="389" spans="2:10" x14ac:dyDescent="0.25">
      <c r="B389" s="5"/>
      <c r="C389" s="5"/>
      <c r="D389" s="5"/>
      <c r="E389" s="5"/>
      <c r="F389" s="5"/>
      <c r="G389" s="5"/>
      <c r="H389" s="5"/>
      <c r="I389" s="5"/>
      <c r="J389" s="5"/>
    </row>
    <row r="390" spans="2:10" x14ac:dyDescent="0.25">
      <c r="B390" s="5"/>
      <c r="C390" s="5"/>
      <c r="D390" s="5"/>
      <c r="E390" s="5"/>
      <c r="F390" s="5"/>
      <c r="G390" s="5"/>
      <c r="H390" s="5"/>
      <c r="I390" s="5"/>
      <c r="J390" s="5"/>
    </row>
    <row r="391" spans="2:10" x14ac:dyDescent="0.25">
      <c r="B391" s="5"/>
      <c r="C391" s="5"/>
      <c r="D391" s="5"/>
      <c r="E391" s="5"/>
      <c r="F391" s="5"/>
      <c r="G391" s="5"/>
      <c r="H391" s="5"/>
      <c r="I391" s="5"/>
      <c r="J391" s="5"/>
    </row>
    <row r="392" spans="2:10" x14ac:dyDescent="0.25">
      <c r="B392" s="5"/>
      <c r="C392" s="5"/>
      <c r="D392" s="5"/>
      <c r="E392" s="5"/>
      <c r="F392" s="5"/>
      <c r="G392" s="5"/>
      <c r="H392" s="5"/>
      <c r="I392" s="5"/>
      <c r="J392" s="5"/>
    </row>
    <row r="393" spans="2:10" x14ac:dyDescent="0.25">
      <c r="B393" s="5"/>
      <c r="C393" s="5"/>
      <c r="D393" s="5"/>
      <c r="E393" s="5"/>
      <c r="F393" s="5"/>
      <c r="G393" s="5"/>
      <c r="H393" s="5"/>
      <c r="I393" s="5"/>
      <c r="J393" s="5"/>
    </row>
    <row r="394" spans="2:10" x14ac:dyDescent="0.25">
      <c r="B394" s="5"/>
      <c r="C394" s="5"/>
      <c r="D394" s="5"/>
      <c r="E394" s="5"/>
      <c r="F394" s="5"/>
      <c r="G394" s="5"/>
      <c r="H394" s="5"/>
      <c r="I394" s="5"/>
      <c r="J394" s="5"/>
    </row>
    <row r="395" spans="2:10" x14ac:dyDescent="0.25">
      <c r="B395" s="5"/>
      <c r="C395" s="5"/>
      <c r="D395" s="5"/>
      <c r="E395" s="5"/>
      <c r="F395" s="5"/>
      <c r="G395" s="5"/>
      <c r="H395" s="5"/>
      <c r="I395" s="5"/>
      <c r="J395" s="5"/>
    </row>
    <row r="396" spans="2:10" x14ac:dyDescent="0.25">
      <c r="B396" s="5"/>
      <c r="C396" s="5"/>
      <c r="D396" s="5"/>
      <c r="E396" s="5"/>
      <c r="F396" s="5"/>
      <c r="G396" s="5"/>
      <c r="H396" s="5"/>
      <c r="I396" s="5"/>
      <c r="J396" s="5"/>
    </row>
    <row r="397" spans="2:10" x14ac:dyDescent="0.25">
      <c r="B397" s="5"/>
      <c r="C397" s="5"/>
      <c r="D397" s="5"/>
      <c r="E397" s="5"/>
      <c r="F397" s="5"/>
      <c r="G397" s="5"/>
      <c r="H397" s="5"/>
      <c r="I397" s="5"/>
      <c r="J397" s="5"/>
    </row>
    <row r="398" spans="2:10" x14ac:dyDescent="0.25">
      <c r="B398" s="5"/>
      <c r="C398" s="5"/>
      <c r="D398" s="5"/>
      <c r="E398" s="5"/>
      <c r="F398" s="5"/>
      <c r="G398" s="5"/>
      <c r="H398" s="5"/>
      <c r="I398" s="5"/>
      <c r="J398" s="5"/>
    </row>
    <row r="399" spans="2:10" x14ac:dyDescent="0.25">
      <c r="B399" s="5"/>
      <c r="C399" s="5"/>
      <c r="D399" s="5"/>
      <c r="E399" s="5"/>
      <c r="F399" s="5"/>
      <c r="G399" s="5"/>
      <c r="H399" s="5"/>
      <c r="I399" s="5"/>
      <c r="J399" s="5"/>
    </row>
    <row r="400" spans="2:10" x14ac:dyDescent="0.25">
      <c r="B400" s="5"/>
      <c r="C400" s="5"/>
      <c r="D400" s="5"/>
      <c r="E400" s="5"/>
      <c r="F400" s="5"/>
      <c r="G400" s="5"/>
      <c r="H400" s="5"/>
      <c r="I400" s="5"/>
      <c r="J400" s="5"/>
    </row>
    <row r="401" spans="2:10" x14ac:dyDescent="0.25">
      <c r="B401" s="5"/>
      <c r="C401" s="5"/>
      <c r="D401" s="5"/>
      <c r="E401" s="5"/>
      <c r="F401" s="5"/>
      <c r="G401" s="5"/>
      <c r="H401" s="5"/>
      <c r="I401" s="5"/>
      <c r="J401" s="5"/>
    </row>
    <row r="402" spans="2:10" x14ac:dyDescent="0.25">
      <c r="B402" s="5"/>
      <c r="C402" s="5"/>
      <c r="D402" s="5"/>
      <c r="E402" s="5"/>
      <c r="F402" s="5"/>
      <c r="G402" s="5"/>
      <c r="H402" s="5"/>
      <c r="I402" s="5"/>
      <c r="J402" s="5"/>
    </row>
    <row r="403" spans="2:10" x14ac:dyDescent="0.25">
      <c r="B403" s="5"/>
      <c r="C403" s="5"/>
      <c r="D403" s="5"/>
      <c r="E403" s="5"/>
      <c r="F403" s="5"/>
      <c r="G403" s="5"/>
      <c r="H403" s="5"/>
      <c r="I403" s="5"/>
      <c r="J403" s="5"/>
    </row>
  </sheetData>
  <mergeCells count="2">
    <mergeCell ref="B6:D6"/>
    <mergeCell ref="E6:G6"/>
  </mergeCells>
  <conditionalFormatting sqref="B3">
    <cfRule type="duplicateValues" dxfId="48" priority="1"/>
  </conditionalFormatting>
  <hyperlinks>
    <hyperlink ref="B3" location="SUMMARY!A1" display="Dns. R.O. Ojo" xr:uid="{5EDC50A2-97C2-4D7E-8864-096615F557C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3CCC-7F8E-4CF1-AF1A-0939C01D38B1}">
  <dimension ref="A1:J368"/>
  <sheetViews>
    <sheetView workbookViewId="0"/>
  </sheetViews>
  <sheetFormatPr defaultRowHeight="15" x14ac:dyDescent="0.25"/>
  <cols>
    <col min="1" max="1" width="11.285156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117</v>
      </c>
      <c r="D3" t="s">
        <v>87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</sheetData>
  <mergeCells count="2">
    <mergeCell ref="B6:D6"/>
    <mergeCell ref="E6:G6"/>
  </mergeCells>
  <conditionalFormatting sqref="B3">
    <cfRule type="duplicateValues" dxfId="47" priority="1"/>
  </conditionalFormatting>
  <hyperlinks>
    <hyperlink ref="B3" location="SUMMARY!A1" display="Dns H.B. Ibikunle" xr:uid="{81AD5144-82E8-4891-A883-6E983172E5E6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D5AF-3D04-49EA-8893-8346DAC31434}">
  <dimension ref="A1:J368"/>
  <sheetViews>
    <sheetView workbookViewId="0">
      <selection activeCell="B3" sqref="B3"/>
    </sheetView>
  </sheetViews>
  <sheetFormatPr defaultRowHeight="15" x14ac:dyDescent="0.25"/>
  <cols>
    <col min="1" max="1" width="10.5703125" customWidth="1"/>
    <col min="4" max="4" width="10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43</v>
      </c>
      <c r="D3" t="s">
        <v>88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14000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</sheetData>
  <mergeCells count="2">
    <mergeCell ref="B6:D6"/>
    <mergeCell ref="E6:G6"/>
  </mergeCells>
  <conditionalFormatting sqref="B3">
    <cfRule type="duplicateValues" dxfId="46" priority="1"/>
  </conditionalFormatting>
  <hyperlinks>
    <hyperlink ref="B3" location="SUMMARY!A1" display="Dns. F.M. Olabintan" xr:uid="{9B83B4F2-C21E-43C6-B054-F161ECFBB909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9664-EB9A-4BDD-8F3B-80AB7AF5330C}">
  <dimension ref="A1:J174"/>
  <sheetViews>
    <sheetView workbookViewId="0">
      <selection activeCell="B3" sqref="B3"/>
    </sheetView>
  </sheetViews>
  <sheetFormatPr defaultRowHeight="15" x14ac:dyDescent="0.25"/>
  <cols>
    <col min="1" max="1" width="12.42578125" customWidth="1"/>
    <col min="4" max="4" width="10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44</v>
      </c>
      <c r="D3" t="s">
        <v>89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21085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</sheetData>
  <mergeCells count="2">
    <mergeCell ref="B6:D6"/>
    <mergeCell ref="E6:G6"/>
  </mergeCells>
  <conditionalFormatting sqref="B3">
    <cfRule type="duplicateValues" dxfId="45" priority="1"/>
  </conditionalFormatting>
  <hyperlinks>
    <hyperlink ref="B3" location="SUMMARY!A1" display="Dns. O.O. Ogedengbe" xr:uid="{B53093F5-46F3-498A-8C91-417F2EC20A93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CC34-FA1E-40AE-987A-C4E0DA364AB4}">
  <dimension ref="A1:J293"/>
  <sheetViews>
    <sheetView workbookViewId="0"/>
  </sheetViews>
  <sheetFormatPr defaultRowHeight="15" x14ac:dyDescent="0.25"/>
  <cols>
    <col min="1" max="1" width="11.85546875" customWidth="1"/>
    <col min="3" max="3" width="10.140625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31</v>
      </c>
      <c r="C3" s="5"/>
      <c r="D3" t="s">
        <v>90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</sheetData>
  <conditionalFormatting sqref="B3">
    <cfRule type="duplicateValues" dxfId="44" priority="1"/>
  </conditionalFormatting>
  <hyperlinks>
    <hyperlink ref="B3" location="SUMMARY!A1" display="Dns. Dauda Luke S. " xr:uid="{F8B6EEC7-E410-4E30-8233-CA1D082157A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E785-B8E8-4F11-A869-DAA30C48D998}">
  <dimension ref="A1:J89"/>
  <sheetViews>
    <sheetView workbookViewId="0">
      <selection activeCell="B3" sqref="B3"/>
    </sheetView>
  </sheetViews>
  <sheetFormatPr defaultRowHeight="15" x14ac:dyDescent="0.25"/>
  <cols>
    <col min="1" max="1" width="11" customWidth="1"/>
    <col min="3" max="3" width="9.5703125" bestFit="1" customWidth="1"/>
    <col min="4" max="4" width="10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47</v>
      </c>
      <c r="C3" s="5"/>
      <c r="D3" t="s">
        <v>91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23000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</sheetData>
  <conditionalFormatting sqref="B3">
    <cfRule type="duplicateValues" dxfId="43" priority="1"/>
  </conditionalFormatting>
  <hyperlinks>
    <hyperlink ref="B3" location="SUMMARY!A1" display="Dns. B.H. Oyemayo" xr:uid="{F90EEA04-F2A4-4118-A936-8DF72C04B08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AEDE-DB4A-4609-8ADD-14667E5FDFC2}">
  <dimension ref="A1:J345"/>
  <sheetViews>
    <sheetView workbookViewId="0">
      <selection activeCell="B3" sqref="B3"/>
    </sheetView>
  </sheetViews>
  <sheetFormatPr defaultRowHeight="15" x14ac:dyDescent="0.25"/>
  <cols>
    <col min="1" max="1" width="10.7109375" customWidth="1"/>
    <col min="3" max="3" width="10.5703125" bestFit="1" customWidth="1"/>
    <col min="4" max="4" width="11.285156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35</v>
      </c>
      <c r="C3" s="5"/>
      <c r="D3" t="s">
        <v>92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-19178.5</v>
      </c>
      <c r="E8" s="5"/>
      <c r="F8" s="5"/>
      <c r="G8" s="5"/>
      <c r="H8" s="5"/>
      <c r="I8" s="5"/>
      <c r="J8" s="5"/>
    </row>
    <row r="9" spans="1:10" x14ac:dyDescent="0.25">
      <c r="A9" s="3">
        <v>46142</v>
      </c>
      <c r="B9" s="5"/>
      <c r="C9" s="28">
        <v>19178.5</v>
      </c>
      <c r="D9" s="5">
        <f>D8+C9</f>
        <v>0</v>
      </c>
      <c r="E9" s="5"/>
      <c r="F9" s="5"/>
      <c r="G9" s="5"/>
      <c r="H9" s="5"/>
      <c r="I9" s="5"/>
      <c r="J9" s="5"/>
    </row>
    <row r="10" spans="1:10" x14ac:dyDescent="0.25">
      <c r="A10" s="3">
        <v>46142</v>
      </c>
      <c r="B10" s="5"/>
      <c r="C10" s="5">
        <v>60000</v>
      </c>
      <c r="D10" s="5">
        <f>+D9+C10</f>
        <v>60000</v>
      </c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</sheetData>
  <conditionalFormatting sqref="B3">
    <cfRule type="duplicateValues" dxfId="42" priority="1"/>
  </conditionalFormatting>
  <hyperlinks>
    <hyperlink ref="B3" location="SUMMARY!A1" display="Bro. Mathew Alaba" xr:uid="{951652F0-7FBA-4A4D-95DC-99803A72A7C9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A2BA-1EE1-4799-BD19-04AA1E88BDAA}">
  <dimension ref="A1:J367"/>
  <sheetViews>
    <sheetView workbookViewId="0">
      <selection activeCell="B3" sqref="B3"/>
    </sheetView>
  </sheetViews>
  <sheetFormatPr defaultRowHeight="15" x14ac:dyDescent="0.25"/>
  <cols>
    <col min="1" max="1" width="11.1406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54</v>
      </c>
      <c r="D3" t="s">
        <v>93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E8" s="5"/>
      <c r="F8" s="5">
        <v>-419.27</v>
      </c>
      <c r="G8" s="5">
        <f>+F8</f>
        <v>-419.27</v>
      </c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</sheetData>
  <mergeCells count="2">
    <mergeCell ref="B6:D6"/>
    <mergeCell ref="E6:G6"/>
  </mergeCells>
  <conditionalFormatting sqref="B3">
    <cfRule type="duplicateValues" dxfId="41" priority="1"/>
  </conditionalFormatting>
  <hyperlinks>
    <hyperlink ref="B3" location="SUMMARY!A1" display="Bro. Panmoh Isaiah" xr:uid="{A04BE31A-07A7-4BF3-AE1D-D2717853DA34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70FA-FC80-426C-B32D-A179C05F6300}">
  <dimension ref="A1:J251"/>
  <sheetViews>
    <sheetView workbookViewId="0">
      <selection activeCell="B3" sqref="B3"/>
    </sheetView>
  </sheetViews>
  <sheetFormatPr defaultRowHeight="15" x14ac:dyDescent="0.25"/>
  <cols>
    <col min="1" max="1" width="12.7109375" customWidth="1"/>
    <col min="4" max="4" width="10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42</v>
      </c>
      <c r="D3" t="s">
        <v>94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16564.900000000001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</sheetData>
  <mergeCells count="2">
    <mergeCell ref="B6:D6"/>
    <mergeCell ref="E6:G6"/>
  </mergeCells>
  <conditionalFormatting sqref="B3">
    <cfRule type="duplicateValues" dxfId="40" priority="1"/>
  </conditionalFormatting>
  <hyperlinks>
    <hyperlink ref="B3" location="SUMMARY!A1" display="Bro. Balogun Samuel" xr:uid="{76FF23C6-4561-4AF6-8F53-995039EA6ADE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BAF1-2F43-4FA7-A17B-0F6B49F9FC56}">
  <dimension ref="A1:J468"/>
  <sheetViews>
    <sheetView workbookViewId="0">
      <selection activeCell="B3" sqref="B3"/>
    </sheetView>
  </sheetViews>
  <sheetFormatPr defaultRowHeight="15" x14ac:dyDescent="0.25"/>
  <cols>
    <col min="1" max="1" width="12.28515625" customWidth="1"/>
    <col min="3" max="4" width="10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172</v>
      </c>
      <c r="C3" s="5"/>
      <c r="D3" t="s">
        <v>95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46159</v>
      </c>
      <c r="B8" s="5"/>
      <c r="C8" s="5">
        <v>25000</v>
      </c>
      <c r="D8" s="5">
        <f>+C8</f>
        <v>25000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  <row r="369" spans="2:10" x14ac:dyDescent="0.25">
      <c r="B369" s="5"/>
      <c r="C369" s="5"/>
      <c r="D369" s="5"/>
      <c r="E369" s="5"/>
      <c r="F369" s="5"/>
      <c r="G369" s="5"/>
      <c r="H369" s="5"/>
      <c r="I369" s="5"/>
      <c r="J369" s="5"/>
    </row>
    <row r="370" spans="2:10" x14ac:dyDescent="0.25">
      <c r="B370" s="5"/>
      <c r="C370" s="5"/>
      <c r="D370" s="5"/>
      <c r="E370" s="5"/>
      <c r="F370" s="5"/>
      <c r="G370" s="5"/>
      <c r="H370" s="5"/>
      <c r="I370" s="5"/>
      <c r="J370" s="5"/>
    </row>
    <row r="371" spans="2:10" x14ac:dyDescent="0.25">
      <c r="B371" s="5"/>
      <c r="C371" s="5"/>
      <c r="D371" s="5"/>
      <c r="E371" s="5"/>
      <c r="F371" s="5"/>
      <c r="G371" s="5"/>
      <c r="H371" s="5"/>
      <c r="I371" s="5"/>
      <c r="J371" s="5"/>
    </row>
    <row r="372" spans="2:10" x14ac:dyDescent="0.25">
      <c r="B372" s="5"/>
      <c r="C372" s="5"/>
      <c r="D372" s="5"/>
      <c r="E372" s="5"/>
      <c r="F372" s="5"/>
      <c r="G372" s="5"/>
      <c r="H372" s="5"/>
      <c r="I372" s="5"/>
      <c r="J372" s="5"/>
    </row>
    <row r="373" spans="2:10" x14ac:dyDescent="0.25">
      <c r="B373" s="5"/>
      <c r="C373" s="5"/>
      <c r="D373" s="5"/>
      <c r="E373" s="5"/>
      <c r="F373" s="5"/>
      <c r="G373" s="5"/>
      <c r="H373" s="5"/>
      <c r="I373" s="5"/>
      <c r="J373" s="5"/>
    </row>
    <row r="374" spans="2:10" x14ac:dyDescent="0.25">
      <c r="B374" s="5"/>
      <c r="C374" s="5"/>
      <c r="D374" s="5"/>
      <c r="E374" s="5"/>
      <c r="F374" s="5"/>
      <c r="G374" s="5"/>
      <c r="H374" s="5"/>
      <c r="I374" s="5"/>
      <c r="J374" s="5"/>
    </row>
    <row r="375" spans="2:10" x14ac:dyDescent="0.25">
      <c r="B375" s="5"/>
      <c r="C375" s="5"/>
      <c r="D375" s="5"/>
      <c r="E375" s="5"/>
      <c r="F375" s="5"/>
      <c r="G375" s="5"/>
      <c r="H375" s="5"/>
      <c r="I375" s="5"/>
      <c r="J375" s="5"/>
    </row>
    <row r="376" spans="2:10" x14ac:dyDescent="0.25">
      <c r="B376" s="5"/>
      <c r="C376" s="5"/>
      <c r="D376" s="5"/>
      <c r="E376" s="5"/>
      <c r="F376" s="5"/>
      <c r="G376" s="5"/>
      <c r="H376" s="5"/>
      <c r="I376" s="5"/>
      <c r="J376" s="5"/>
    </row>
    <row r="377" spans="2:10" x14ac:dyDescent="0.25">
      <c r="B377" s="5"/>
      <c r="C377" s="5"/>
      <c r="D377" s="5"/>
      <c r="E377" s="5"/>
      <c r="F377" s="5"/>
      <c r="G377" s="5"/>
      <c r="H377" s="5"/>
      <c r="I377" s="5"/>
      <c r="J377" s="5"/>
    </row>
    <row r="378" spans="2:10" x14ac:dyDescent="0.25">
      <c r="B378" s="5"/>
      <c r="C378" s="5"/>
      <c r="D378" s="5"/>
      <c r="E378" s="5"/>
      <c r="F378" s="5"/>
      <c r="G378" s="5"/>
      <c r="H378" s="5"/>
      <c r="I378" s="5"/>
      <c r="J378" s="5"/>
    </row>
    <row r="379" spans="2:10" x14ac:dyDescent="0.25">
      <c r="B379" s="5"/>
      <c r="C379" s="5"/>
      <c r="D379" s="5"/>
      <c r="E379" s="5"/>
      <c r="F379" s="5"/>
      <c r="G379" s="5"/>
      <c r="H379" s="5"/>
      <c r="I379" s="5"/>
      <c r="J379" s="5"/>
    </row>
    <row r="380" spans="2:10" x14ac:dyDescent="0.25">
      <c r="B380" s="5"/>
      <c r="C380" s="5"/>
      <c r="D380" s="5"/>
      <c r="E380" s="5"/>
      <c r="F380" s="5"/>
      <c r="G380" s="5"/>
      <c r="H380" s="5"/>
      <c r="I380" s="5"/>
      <c r="J380" s="5"/>
    </row>
    <row r="381" spans="2:10" x14ac:dyDescent="0.25">
      <c r="B381" s="5"/>
      <c r="C381" s="5"/>
      <c r="D381" s="5"/>
      <c r="E381" s="5"/>
      <c r="F381" s="5"/>
      <c r="G381" s="5"/>
      <c r="H381" s="5"/>
      <c r="I381" s="5"/>
      <c r="J381" s="5"/>
    </row>
    <row r="382" spans="2:10" x14ac:dyDescent="0.25">
      <c r="B382" s="5"/>
      <c r="C382" s="5"/>
      <c r="D382" s="5"/>
      <c r="E382" s="5"/>
      <c r="F382" s="5"/>
      <c r="G382" s="5"/>
      <c r="H382" s="5"/>
      <c r="I382" s="5"/>
      <c r="J382" s="5"/>
    </row>
    <row r="383" spans="2:10" x14ac:dyDescent="0.25">
      <c r="B383" s="5"/>
      <c r="C383" s="5"/>
      <c r="D383" s="5"/>
      <c r="E383" s="5"/>
      <c r="F383" s="5"/>
      <c r="G383" s="5"/>
      <c r="H383" s="5"/>
      <c r="I383" s="5"/>
      <c r="J383" s="5"/>
    </row>
    <row r="384" spans="2:10" x14ac:dyDescent="0.25">
      <c r="B384" s="5"/>
      <c r="C384" s="5"/>
      <c r="D384" s="5"/>
      <c r="E384" s="5"/>
      <c r="F384" s="5"/>
      <c r="G384" s="5"/>
      <c r="H384" s="5"/>
      <c r="I384" s="5"/>
      <c r="J384" s="5"/>
    </row>
    <row r="385" spans="2:10" x14ac:dyDescent="0.25">
      <c r="B385" s="5"/>
      <c r="C385" s="5"/>
      <c r="D385" s="5"/>
      <c r="E385" s="5"/>
      <c r="F385" s="5"/>
      <c r="G385" s="5"/>
      <c r="H385" s="5"/>
      <c r="I385" s="5"/>
      <c r="J385" s="5"/>
    </row>
    <row r="386" spans="2:10" x14ac:dyDescent="0.25">
      <c r="B386" s="5"/>
      <c r="C386" s="5"/>
      <c r="D386" s="5"/>
      <c r="E386" s="5"/>
      <c r="F386" s="5"/>
      <c r="G386" s="5"/>
      <c r="H386" s="5"/>
      <c r="I386" s="5"/>
      <c r="J386" s="5"/>
    </row>
    <row r="387" spans="2:10" x14ac:dyDescent="0.25">
      <c r="B387" s="5"/>
      <c r="C387" s="5"/>
      <c r="D387" s="5"/>
      <c r="E387" s="5"/>
      <c r="F387" s="5"/>
      <c r="G387" s="5"/>
      <c r="H387" s="5"/>
      <c r="I387" s="5"/>
      <c r="J387" s="5"/>
    </row>
    <row r="388" spans="2:10" x14ac:dyDescent="0.25">
      <c r="B388" s="5"/>
      <c r="C388" s="5"/>
      <c r="D388" s="5"/>
      <c r="E388" s="5"/>
      <c r="F388" s="5"/>
      <c r="G388" s="5"/>
      <c r="H388" s="5"/>
      <c r="I388" s="5"/>
      <c r="J388" s="5"/>
    </row>
    <row r="389" spans="2:10" x14ac:dyDescent="0.25">
      <c r="B389" s="5"/>
      <c r="C389" s="5"/>
      <c r="D389" s="5"/>
      <c r="E389" s="5"/>
      <c r="F389" s="5"/>
      <c r="G389" s="5"/>
      <c r="H389" s="5"/>
      <c r="I389" s="5"/>
      <c r="J389" s="5"/>
    </row>
    <row r="390" spans="2:10" x14ac:dyDescent="0.25">
      <c r="B390" s="5"/>
      <c r="C390" s="5"/>
      <c r="D390" s="5"/>
      <c r="E390" s="5"/>
      <c r="F390" s="5"/>
      <c r="G390" s="5"/>
      <c r="H390" s="5"/>
      <c r="I390" s="5"/>
      <c r="J390" s="5"/>
    </row>
    <row r="391" spans="2:10" x14ac:dyDescent="0.25">
      <c r="B391" s="5"/>
      <c r="C391" s="5"/>
      <c r="D391" s="5"/>
      <c r="E391" s="5"/>
      <c r="F391" s="5"/>
      <c r="G391" s="5"/>
      <c r="H391" s="5"/>
      <c r="I391" s="5"/>
      <c r="J391" s="5"/>
    </row>
    <row r="392" spans="2:10" x14ac:dyDescent="0.25">
      <c r="B392" s="5"/>
      <c r="C392" s="5"/>
      <c r="D392" s="5"/>
      <c r="E392" s="5"/>
      <c r="F392" s="5"/>
      <c r="G392" s="5"/>
      <c r="H392" s="5"/>
      <c r="I392" s="5"/>
      <c r="J392" s="5"/>
    </row>
    <row r="393" spans="2:10" x14ac:dyDescent="0.25">
      <c r="B393" s="5"/>
      <c r="C393" s="5"/>
      <c r="D393" s="5"/>
      <c r="E393" s="5"/>
      <c r="F393" s="5"/>
      <c r="G393" s="5"/>
      <c r="H393" s="5"/>
      <c r="I393" s="5"/>
      <c r="J393" s="5"/>
    </row>
    <row r="394" spans="2:10" x14ac:dyDescent="0.25">
      <c r="B394" s="5"/>
      <c r="C394" s="5"/>
      <c r="D394" s="5"/>
      <c r="E394" s="5"/>
      <c r="F394" s="5"/>
      <c r="G394" s="5"/>
      <c r="H394" s="5"/>
      <c r="I394" s="5"/>
      <c r="J394" s="5"/>
    </row>
    <row r="395" spans="2:10" x14ac:dyDescent="0.25">
      <c r="B395" s="5"/>
      <c r="C395" s="5"/>
      <c r="D395" s="5"/>
      <c r="E395" s="5"/>
      <c r="F395" s="5"/>
      <c r="G395" s="5"/>
      <c r="H395" s="5"/>
      <c r="I395" s="5"/>
      <c r="J395" s="5"/>
    </row>
    <row r="396" spans="2:10" x14ac:dyDescent="0.25">
      <c r="B396" s="5"/>
      <c r="C396" s="5"/>
      <c r="D396" s="5"/>
      <c r="E396" s="5"/>
      <c r="F396" s="5"/>
      <c r="G396" s="5"/>
      <c r="H396" s="5"/>
      <c r="I396" s="5"/>
      <c r="J396" s="5"/>
    </row>
    <row r="397" spans="2:10" x14ac:dyDescent="0.25">
      <c r="B397" s="5"/>
      <c r="C397" s="5"/>
      <c r="D397" s="5"/>
      <c r="E397" s="5"/>
      <c r="F397" s="5"/>
      <c r="G397" s="5"/>
      <c r="H397" s="5"/>
      <c r="I397" s="5"/>
      <c r="J397" s="5"/>
    </row>
    <row r="398" spans="2:10" x14ac:dyDescent="0.25">
      <c r="B398" s="5"/>
      <c r="C398" s="5"/>
      <c r="D398" s="5"/>
      <c r="E398" s="5"/>
      <c r="F398" s="5"/>
      <c r="G398" s="5"/>
      <c r="H398" s="5"/>
      <c r="I398" s="5"/>
      <c r="J398" s="5"/>
    </row>
    <row r="399" spans="2:10" x14ac:dyDescent="0.25">
      <c r="B399" s="5"/>
      <c r="C399" s="5"/>
      <c r="D399" s="5"/>
      <c r="E399" s="5"/>
      <c r="F399" s="5"/>
      <c r="G399" s="5"/>
      <c r="H399" s="5"/>
      <c r="I399" s="5"/>
      <c r="J399" s="5"/>
    </row>
    <row r="400" spans="2:10" x14ac:dyDescent="0.25">
      <c r="B400" s="5"/>
      <c r="C400" s="5"/>
      <c r="D400" s="5"/>
      <c r="E400" s="5"/>
      <c r="F400" s="5"/>
      <c r="G400" s="5"/>
      <c r="H400" s="5"/>
      <c r="I400" s="5"/>
      <c r="J400" s="5"/>
    </row>
    <row r="401" spans="2:10" x14ac:dyDescent="0.25">
      <c r="B401" s="5"/>
      <c r="C401" s="5"/>
      <c r="D401" s="5"/>
      <c r="E401" s="5"/>
      <c r="F401" s="5"/>
      <c r="G401" s="5"/>
      <c r="H401" s="5"/>
      <c r="I401" s="5"/>
      <c r="J401" s="5"/>
    </row>
    <row r="402" spans="2:10" x14ac:dyDescent="0.25">
      <c r="B402" s="5"/>
      <c r="C402" s="5"/>
      <c r="D402" s="5"/>
      <c r="E402" s="5"/>
      <c r="F402" s="5"/>
      <c r="G402" s="5"/>
      <c r="H402" s="5"/>
      <c r="I402" s="5"/>
      <c r="J402" s="5"/>
    </row>
    <row r="403" spans="2:10" x14ac:dyDescent="0.25">
      <c r="B403" s="5"/>
      <c r="C403" s="5"/>
      <c r="D403" s="5"/>
      <c r="E403" s="5"/>
      <c r="F403" s="5"/>
      <c r="G403" s="5"/>
      <c r="H403" s="5"/>
      <c r="I403" s="5"/>
      <c r="J403" s="5"/>
    </row>
    <row r="404" spans="2:10" x14ac:dyDescent="0.25">
      <c r="B404" s="5"/>
      <c r="C404" s="5"/>
      <c r="D404" s="5"/>
      <c r="E404" s="5"/>
      <c r="F404" s="5"/>
      <c r="G404" s="5"/>
      <c r="H404" s="5"/>
      <c r="I404" s="5"/>
      <c r="J404" s="5"/>
    </row>
    <row r="405" spans="2:10" x14ac:dyDescent="0.25">
      <c r="B405" s="5"/>
      <c r="C405" s="5"/>
      <c r="D405" s="5"/>
      <c r="E405" s="5"/>
      <c r="F405" s="5"/>
      <c r="G405" s="5"/>
      <c r="H405" s="5"/>
      <c r="I405" s="5"/>
      <c r="J405" s="5"/>
    </row>
    <row r="406" spans="2:10" x14ac:dyDescent="0.25">
      <c r="B406" s="5"/>
      <c r="C406" s="5"/>
      <c r="D406" s="5"/>
      <c r="E406" s="5"/>
      <c r="F406" s="5"/>
      <c r="G406" s="5"/>
      <c r="H406" s="5"/>
      <c r="I406" s="5"/>
      <c r="J406" s="5"/>
    </row>
    <row r="407" spans="2:10" x14ac:dyDescent="0.25">
      <c r="B407" s="5"/>
      <c r="C407" s="5"/>
      <c r="D407" s="5"/>
      <c r="E407" s="5"/>
      <c r="F407" s="5"/>
      <c r="G407" s="5"/>
      <c r="H407" s="5"/>
      <c r="I407" s="5"/>
      <c r="J407" s="5"/>
    </row>
    <row r="408" spans="2:10" x14ac:dyDescent="0.25">
      <c r="B408" s="5"/>
      <c r="C408" s="5"/>
      <c r="D408" s="5"/>
      <c r="E408" s="5"/>
      <c r="F408" s="5"/>
      <c r="G408" s="5"/>
      <c r="H408" s="5"/>
      <c r="I408" s="5"/>
      <c r="J408" s="5"/>
    </row>
    <row r="409" spans="2:10" x14ac:dyDescent="0.25">
      <c r="B409" s="5"/>
      <c r="C409" s="5"/>
      <c r="D409" s="5"/>
      <c r="E409" s="5"/>
      <c r="F409" s="5"/>
      <c r="G409" s="5"/>
      <c r="H409" s="5"/>
      <c r="I409" s="5"/>
      <c r="J409" s="5"/>
    </row>
    <row r="410" spans="2:10" x14ac:dyDescent="0.25">
      <c r="B410" s="5"/>
      <c r="C410" s="5"/>
      <c r="D410" s="5"/>
      <c r="E410" s="5"/>
      <c r="F410" s="5"/>
      <c r="G410" s="5"/>
      <c r="H410" s="5"/>
      <c r="I410" s="5"/>
      <c r="J410" s="5"/>
    </row>
    <row r="411" spans="2:10" x14ac:dyDescent="0.25">
      <c r="B411" s="5"/>
      <c r="C411" s="5"/>
      <c r="D411" s="5"/>
      <c r="E411" s="5"/>
      <c r="F411" s="5"/>
      <c r="G411" s="5"/>
      <c r="H411" s="5"/>
      <c r="I411" s="5"/>
      <c r="J411" s="5"/>
    </row>
    <row r="412" spans="2:10" x14ac:dyDescent="0.25">
      <c r="B412" s="5"/>
      <c r="C412" s="5"/>
      <c r="D412" s="5"/>
      <c r="E412" s="5"/>
      <c r="F412" s="5"/>
      <c r="G412" s="5"/>
      <c r="H412" s="5"/>
      <c r="I412" s="5"/>
      <c r="J412" s="5"/>
    </row>
    <row r="413" spans="2:10" x14ac:dyDescent="0.25">
      <c r="B413" s="5"/>
      <c r="C413" s="5"/>
      <c r="D413" s="5"/>
      <c r="E413" s="5"/>
      <c r="F413" s="5"/>
      <c r="G413" s="5"/>
      <c r="H413" s="5"/>
      <c r="I413" s="5"/>
      <c r="J413" s="5"/>
    </row>
    <row r="414" spans="2:10" x14ac:dyDescent="0.25">
      <c r="B414" s="5"/>
      <c r="C414" s="5"/>
      <c r="D414" s="5"/>
      <c r="E414" s="5"/>
      <c r="F414" s="5"/>
      <c r="G414" s="5"/>
      <c r="H414" s="5"/>
      <c r="I414" s="5"/>
      <c r="J414" s="5"/>
    </row>
    <row r="415" spans="2:10" x14ac:dyDescent="0.25">
      <c r="B415" s="5"/>
      <c r="C415" s="5"/>
      <c r="D415" s="5"/>
      <c r="E415" s="5"/>
      <c r="F415" s="5"/>
      <c r="G415" s="5"/>
      <c r="H415" s="5"/>
      <c r="I415" s="5"/>
      <c r="J415" s="5"/>
    </row>
    <row r="416" spans="2:10" x14ac:dyDescent="0.25">
      <c r="B416" s="5"/>
      <c r="C416" s="5"/>
      <c r="D416" s="5"/>
      <c r="E416" s="5"/>
      <c r="F416" s="5"/>
      <c r="G416" s="5"/>
      <c r="H416" s="5"/>
      <c r="I416" s="5"/>
      <c r="J416" s="5"/>
    </row>
    <row r="417" spans="2:10" x14ac:dyDescent="0.25">
      <c r="B417" s="5"/>
      <c r="C417" s="5"/>
      <c r="D417" s="5"/>
      <c r="E417" s="5"/>
      <c r="F417" s="5"/>
      <c r="G417" s="5"/>
      <c r="H417" s="5"/>
      <c r="I417" s="5"/>
      <c r="J417" s="5"/>
    </row>
    <row r="418" spans="2:10" x14ac:dyDescent="0.25">
      <c r="B418" s="5"/>
      <c r="C418" s="5"/>
      <c r="D418" s="5"/>
      <c r="E418" s="5"/>
      <c r="F418" s="5"/>
      <c r="G418" s="5"/>
      <c r="H418" s="5"/>
      <c r="I418" s="5"/>
      <c r="J418" s="5"/>
    </row>
    <row r="419" spans="2:10" x14ac:dyDescent="0.25">
      <c r="B419" s="5"/>
      <c r="C419" s="5"/>
      <c r="D419" s="5"/>
      <c r="E419" s="5"/>
      <c r="F419" s="5"/>
      <c r="G419" s="5"/>
      <c r="H419" s="5"/>
      <c r="I419" s="5"/>
      <c r="J419" s="5"/>
    </row>
    <row r="420" spans="2:10" x14ac:dyDescent="0.25">
      <c r="B420" s="5"/>
      <c r="C420" s="5"/>
      <c r="D420" s="5"/>
      <c r="E420" s="5"/>
      <c r="F420" s="5"/>
      <c r="G420" s="5"/>
      <c r="H420" s="5"/>
      <c r="I420" s="5"/>
      <c r="J420" s="5"/>
    </row>
    <row r="421" spans="2:10" x14ac:dyDescent="0.25">
      <c r="B421" s="5"/>
      <c r="C421" s="5"/>
      <c r="D421" s="5"/>
      <c r="E421" s="5"/>
      <c r="F421" s="5"/>
      <c r="G421" s="5"/>
      <c r="H421" s="5"/>
      <c r="I421" s="5"/>
      <c r="J421" s="5"/>
    </row>
    <row r="422" spans="2:10" x14ac:dyDescent="0.25">
      <c r="B422" s="5"/>
      <c r="C422" s="5"/>
      <c r="D422" s="5"/>
      <c r="E422" s="5"/>
      <c r="F422" s="5"/>
      <c r="G422" s="5"/>
      <c r="H422" s="5"/>
      <c r="I422" s="5"/>
      <c r="J422" s="5"/>
    </row>
    <row r="423" spans="2:10" x14ac:dyDescent="0.25">
      <c r="B423" s="5"/>
      <c r="C423" s="5"/>
      <c r="D423" s="5"/>
      <c r="E423" s="5"/>
      <c r="F423" s="5"/>
      <c r="G423" s="5"/>
      <c r="H423" s="5"/>
      <c r="I423" s="5"/>
      <c r="J423" s="5"/>
    </row>
    <row r="424" spans="2:10" x14ac:dyDescent="0.25">
      <c r="B424" s="5"/>
      <c r="C424" s="5"/>
      <c r="D424" s="5"/>
      <c r="E424" s="5"/>
      <c r="F424" s="5"/>
      <c r="G424" s="5"/>
      <c r="H424" s="5"/>
      <c r="I424" s="5"/>
      <c r="J424" s="5"/>
    </row>
    <row r="425" spans="2:10" x14ac:dyDescent="0.25">
      <c r="B425" s="5"/>
      <c r="C425" s="5"/>
      <c r="D425" s="5"/>
      <c r="E425" s="5"/>
      <c r="F425" s="5"/>
      <c r="G425" s="5"/>
      <c r="H425" s="5"/>
      <c r="I425" s="5"/>
      <c r="J425" s="5"/>
    </row>
    <row r="426" spans="2:10" x14ac:dyDescent="0.25">
      <c r="B426" s="5"/>
      <c r="C426" s="5"/>
      <c r="D426" s="5"/>
      <c r="E426" s="5"/>
      <c r="F426" s="5"/>
      <c r="G426" s="5"/>
      <c r="H426" s="5"/>
      <c r="I426" s="5"/>
      <c r="J426" s="5"/>
    </row>
    <row r="427" spans="2:10" x14ac:dyDescent="0.25">
      <c r="B427" s="5"/>
      <c r="C427" s="5"/>
      <c r="D427" s="5"/>
      <c r="E427" s="5"/>
      <c r="F427" s="5"/>
      <c r="G427" s="5"/>
      <c r="H427" s="5"/>
      <c r="I427" s="5"/>
      <c r="J427" s="5"/>
    </row>
    <row r="428" spans="2:10" x14ac:dyDescent="0.25">
      <c r="B428" s="5"/>
      <c r="C428" s="5"/>
      <c r="D428" s="5"/>
      <c r="E428" s="5"/>
      <c r="F428" s="5"/>
      <c r="G428" s="5"/>
      <c r="H428" s="5"/>
      <c r="I428" s="5"/>
      <c r="J428" s="5"/>
    </row>
    <row r="429" spans="2:10" x14ac:dyDescent="0.25">
      <c r="B429" s="5"/>
      <c r="C429" s="5"/>
      <c r="D429" s="5"/>
      <c r="E429" s="5"/>
      <c r="F429" s="5"/>
      <c r="G429" s="5"/>
      <c r="H429" s="5"/>
      <c r="I429" s="5"/>
      <c r="J429" s="5"/>
    </row>
    <row r="430" spans="2:10" x14ac:dyDescent="0.25">
      <c r="B430" s="5"/>
      <c r="C430" s="5"/>
      <c r="D430" s="5"/>
      <c r="E430" s="5"/>
      <c r="F430" s="5"/>
      <c r="G430" s="5"/>
      <c r="H430" s="5"/>
      <c r="I430" s="5"/>
      <c r="J430" s="5"/>
    </row>
    <row r="431" spans="2:10" x14ac:dyDescent="0.25">
      <c r="B431" s="5"/>
      <c r="C431" s="5"/>
      <c r="D431" s="5"/>
      <c r="E431" s="5"/>
      <c r="F431" s="5"/>
      <c r="G431" s="5"/>
      <c r="H431" s="5"/>
      <c r="I431" s="5"/>
      <c r="J431" s="5"/>
    </row>
    <row r="432" spans="2:10" x14ac:dyDescent="0.25">
      <c r="B432" s="5"/>
      <c r="C432" s="5"/>
      <c r="D432" s="5"/>
      <c r="E432" s="5"/>
      <c r="F432" s="5"/>
      <c r="G432" s="5"/>
      <c r="H432" s="5"/>
      <c r="I432" s="5"/>
      <c r="J432" s="5"/>
    </row>
    <row r="433" spans="2:10" x14ac:dyDescent="0.25">
      <c r="B433" s="5"/>
      <c r="C433" s="5"/>
      <c r="D433" s="5"/>
      <c r="E433" s="5"/>
      <c r="F433" s="5"/>
      <c r="G433" s="5"/>
      <c r="H433" s="5"/>
      <c r="I433" s="5"/>
      <c r="J433" s="5"/>
    </row>
    <row r="434" spans="2:10" x14ac:dyDescent="0.25">
      <c r="B434" s="5"/>
      <c r="C434" s="5"/>
      <c r="D434" s="5"/>
      <c r="E434" s="5"/>
      <c r="F434" s="5"/>
      <c r="G434" s="5"/>
      <c r="H434" s="5"/>
      <c r="I434" s="5"/>
      <c r="J434" s="5"/>
    </row>
    <row r="435" spans="2:10" x14ac:dyDescent="0.25">
      <c r="B435" s="5"/>
      <c r="C435" s="5"/>
      <c r="D435" s="5"/>
      <c r="E435" s="5"/>
      <c r="F435" s="5"/>
      <c r="G435" s="5"/>
      <c r="H435" s="5"/>
      <c r="I435" s="5"/>
      <c r="J435" s="5"/>
    </row>
    <row r="436" spans="2:10" x14ac:dyDescent="0.25">
      <c r="B436" s="5"/>
      <c r="C436" s="5"/>
      <c r="D436" s="5"/>
      <c r="E436" s="5"/>
      <c r="F436" s="5"/>
      <c r="G436" s="5"/>
      <c r="H436" s="5"/>
      <c r="I436" s="5"/>
      <c r="J436" s="5"/>
    </row>
    <row r="437" spans="2:10" x14ac:dyDescent="0.25">
      <c r="B437" s="5"/>
      <c r="C437" s="5"/>
      <c r="D437" s="5"/>
      <c r="E437" s="5"/>
      <c r="F437" s="5"/>
      <c r="G437" s="5"/>
      <c r="H437" s="5"/>
      <c r="I437" s="5"/>
      <c r="J437" s="5"/>
    </row>
    <row r="438" spans="2:10" x14ac:dyDescent="0.25">
      <c r="B438" s="5"/>
      <c r="C438" s="5"/>
      <c r="D438" s="5"/>
      <c r="E438" s="5"/>
      <c r="F438" s="5"/>
      <c r="G438" s="5"/>
      <c r="H438" s="5"/>
      <c r="I438" s="5"/>
      <c r="J438" s="5"/>
    </row>
    <row r="439" spans="2:10" x14ac:dyDescent="0.25">
      <c r="B439" s="5"/>
      <c r="C439" s="5"/>
      <c r="D439" s="5"/>
      <c r="E439" s="5"/>
      <c r="F439" s="5"/>
      <c r="G439" s="5"/>
      <c r="H439" s="5"/>
      <c r="I439" s="5"/>
      <c r="J439" s="5"/>
    </row>
    <row r="440" spans="2:10" x14ac:dyDescent="0.25">
      <c r="B440" s="5"/>
      <c r="C440" s="5"/>
      <c r="D440" s="5"/>
      <c r="E440" s="5"/>
      <c r="F440" s="5"/>
      <c r="G440" s="5"/>
      <c r="H440" s="5"/>
      <c r="I440" s="5"/>
      <c r="J440" s="5"/>
    </row>
    <row r="441" spans="2:10" x14ac:dyDescent="0.25">
      <c r="B441" s="5"/>
      <c r="C441" s="5"/>
      <c r="D441" s="5"/>
      <c r="E441" s="5"/>
      <c r="F441" s="5"/>
      <c r="G441" s="5"/>
      <c r="H441" s="5"/>
      <c r="I441" s="5"/>
      <c r="J441" s="5"/>
    </row>
    <row r="442" spans="2:10" x14ac:dyDescent="0.25">
      <c r="B442" s="5"/>
      <c r="C442" s="5"/>
      <c r="D442" s="5"/>
      <c r="E442" s="5"/>
      <c r="F442" s="5"/>
      <c r="G442" s="5"/>
      <c r="H442" s="5"/>
      <c r="I442" s="5"/>
      <c r="J442" s="5"/>
    </row>
    <row r="443" spans="2:10" x14ac:dyDescent="0.25">
      <c r="B443" s="5"/>
      <c r="C443" s="5"/>
      <c r="D443" s="5"/>
      <c r="E443" s="5"/>
      <c r="F443" s="5"/>
      <c r="G443" s="5"/>
      <c r="H443" s="5"/>
      <c r="I443" s="5"/>
      <c r="J443" s="5"/>
    </row>
    <row r="444" spans="2:10" x14ac:dyDescent="0.25">
      <c r="B444" s="5"/>
      <c r="C444" s="5"/>
      <c r="D444" s="5"/>
      <c r="E444" s="5"/>
      <c r="F444" s="5"/>
      <c r="G444" s="5"/>
      <c r="H444" s="5"/>
      <c r="I444" s="5"/>
      <c r="J444" s="5"/>
    </row>
    <row r="445" spans="2:10" x14ac:dyDescent="0.25">
      <c r="B445" s="5"/>
      <c r="C445" s="5"/>
      <c r="D445" s="5"/>
      <c r="E445" s="5"/>
      <c r="F445" s="5"/>
      <c r="G445" s="5"/>
      <c r="H445" s="5"/>
      <c r="I445" s="5"/>
      <c r="J445" s="5"/>
    </row>
    <row r="446" spans="2:10" x14ac:dyDescent="0.25">
      <c r="B446" s="5"/>
      <c r="C446" s="5"/>
      <c r="D446" s="5"/>
      <c r="E446" s="5"/>
      <c r="F446" s="5"/>
      <c r="G446" s="5"/>
      <c r="H446" s="5"/>
      <c r="I446" s="5"/>
      <c r="J446" s="5"/>
    </row>
    <row r="447" spans="2:10" x14ac:dyDescent="0.25">
      <c r="B447" s="5"/>
      <c r="C447" s="5"/>
      <c r="D447" s="5"/>
      <c r="E447" s="5"/>
      <c r="F447" s="5"/>
      <c r="G447" s="5"/>
      <c r="H447" s="5"/>
      <c r="I447" s="5"/>
      <c r="J447" s="5"/>
    </row>
    <row r="448" spans="2:10" x14ac:dyDescent="0.25">
      <c r="B448" s="5"/>
      <c r="C448" s="5"/>
      <c r="D448" s="5"/>
      <c r="E448" s="5"/>
      <c r="F448" s="5"/>
      <c r="G448" s="5"/>
      <c r="H448" s="5"/>
      <c r="I448" s="5"/>
      <c r="J448" s="5"/>
    </row>
    <row r="449" spans="2:10" x14ac:dyDescent="0.25">
      <c r="B449" s="5"/>
      <c r="C449" s="5"/>
      <c r="D449" s="5"/>
      <c r="E449" s="5"/>
      <c r="F449" s="5"/>
      <c r="G449" s="5"/>
      <c r="H449" s="5"/>
      <c r="I449" s="5"/>
      <c r="J449" s="5"/>
    </row>
    <row r="450" spans="2:10" x14ac:dyDescent="0.25">
      <c r="B450" s="5"/>
      <c r="C450" s="5"/>
      <c r="D450" s="5"/>
      <c r="E450" s="5"/>
      <c r="F450" s="5"/>
      <c r="G450" s="5"/>
      <c r="H450" s="5"/>
      <c r="I450" s="5"/>
      <c r="J450" s="5"/>
    </row>
    <row r="451" spans="2:10" x14ac:dyDescent="0.25">
      <c r="B451" s="5"/>
      <c r="C451" s="5"/>
      <c r="D451" s="5"/>
      <c r="E451" s="5"/>
      <c r="F451" s="5"/>
      <c r="G451" s="5"/>
      <c r="H451" s="5"/>
      <c r="I451" s="5"/>
      <c r="J451" s="5"/>
    </row>
    <row r="452" spans="2:10" x14ac:dyDescent="0.25">
      <c r="B452" s="5"/>
      <c r="C452" s="5"/>
      <c r="D452" s="5"/>
      <c r="E452" s="5"/>
      <c r="F452" s="5"/>
      <c r="G452" s="5"/>
      <c r="H452" s="5"/>
      <c r="I452" s="5"/>
      <c r="J452" s="5"/>
    </row>
    <row r="453" spans="2:10" x14ac:dyDescent="0.25">
      <c r="B453" s="5"/>
      <c r="C453" s="5"/>
      <c r="D453" s="5"/>
      <c r="E453" s="5"/>
      <c r="F453" s="5"/>
      <c r="G453" s="5"/>
      <c r="H453" s="5"/>
      <c r="I453" s="5"/>
      <c r="J453" s="5"/>
    </row>
    <row r="454" spans="2:10" x14ac:dyDescent="0.25">
      <c r="B454" s="5"/>
      <c r="C454" s="5"/>
      <c r="D454" s="5"/>
      <c r="E454" s="5"/>
      <c r="F454" s="5"/>
      <c r="G454" s="5"/>
      <c r="H454" s="5"/>
      <c r="I454" s="5"/>
      <c r="J454" s="5"/>
    </row>
    <row r="455" spans="2:10" x14ac:dyDescent="0.25">
      <c r="B455" s="5"/>
      <c r="C455" s="5"/>
      <c r="D455" s="5"/>
      <c r="E455" s="5"/>
      <c r="F455" s="5"/>
      <c r="G455" s="5"/>
      <c r="H455" s="5"/>
      <c r="I455" s="5"/>
      <c r="J455" s="5"/>
    </row>
    <row r="456" spans="2:10" x14ac:dyDescent="0.25">
      <c r="B456" s="5"/>
      <c r="C456" s="5"/>
      <c r="D456" s="5"/>
      <c r="E456" s="5"/>
      <c r="F456" s="5"/>
      <c r="G456" s="5"/>
      <c r="H456" s="5"/>
      <c r="I456" s="5"/>
      <c r="J456" s="5"/>
    </row>
    <row r="457" spans="2:10" x14ac:dyDescent="0.25">
      <c r="B457" s="5"/>
      <c r="C457" s="5"/>
      <c r="D457" s="5"/>
      <c r="E457" s="5"/>
      <c r="F457" s="5"/>
      <c r="G457" s="5"/>
      <c r="H457" s="5"/>
      <c r="I457" s="5"/>
      <c r="J457" s="5"/>
    </row>
    <row r="458" spans="2:10" x14ac:dyDescent="0.25">
      <c r="B458" s="5"/>
      <c r="C458" s="5"/>
      <c r="D458" s="5"/>
      <c r="E458" s="5"/>
      <c r="F458" s="5"/>
      <c r="G458" s="5"/>
      <c r="H458" s="5"/>
      <c r="I458" s="5"/>
      <c r="J458" s="5"/>
    </row>
    <row r="459" spans="2:10" x14ac:dyDescent="0.25">
      <c r="B459" s="5"/>
      <c r="C459" s="5"/>
      <c r="D459" s="5"/>
      <c r="E459" s="5"/>
      <c r="F459" s="5"/>
      <c r="G459" s="5"/>
      <c r="H459" s="5"/>
      <c r="I459" s="5"/>
      <c r="J459" s="5"/>
    </row>
    <row r="460" spans="2:10" x14ac:dyDescent="0.25">
      <c r="B460" s="5"/>
      <c r="C460" s="5"/>
      <c r="D460" s="5"/>
      <c r="E460" s="5"/>
      <c r="F460" s="5"/>
      <c r="G460" s="5"/>
      <c r="H460" s="5"/>
      <c r="I460" s="5"/>
      <c r="J460" s="5"/>
    </row>
    <row r="461" spans="2:10" x14ac:dyDescent="0.25">
      <c r="B461" s="5"/>
      <c r="C461" s="5"/>
      <c r="D461" s="5"/>
      <c r="E461" s="5"/>
      <c r="F461" s="5"/>
      <c r="G461" s="5"/>
      <c r="H461" s="5"/>
      <c r="I461" s="5"/>
      <c r="J461" s="5"/>
    </row>
    <row r="462" spans="2:10" x14ac:dyDescent="0.25">
      <c r="B462" s="5"/>
      <c r="C462" s="5"/>
      <c r="D462" s="5"/>
      <c r="E462" s="5"/>
      <c r="F462" s="5"/>
      <c r="G462" s="5"/>
      <c r="H462" s="5"/>
      <c r="I462" s="5"/>
      <c r="J462" s="5"/>
    </row>
    <row r="463" spans="2:10" x14ac:dyDescent="0.25">
      <c r="B463" s="5"/>
      <c r="C463" s="5"/>
      <c r="D463" s="5"/>
      <c r="E463" s="5"/>
      <c r="F463" s="5"/>
      <c r="G463" s="5"/>
      <c r="H463" s="5"/>
      <c r="I463" s="5"/>
      <c r="J463" s="5"/>
    </row>
    <row r="464" spans="2:10" x14ac:dyDescent="0.25">
      <c r="B464" s="5"/>
      <c r="C464" s="5"/>
      <c r="D464" s="5"/>
      <c r="E464" s="5"/>
      <c r="F464" s="5"/>
      <c r="G464" s="5"/>
      <c r="H464" s="5"/>
      <c r="I464" s="5"/>
      <c r="J464" s="5"/>
    </row>
    <row r="465" spans="2:10" x14ac:dyDescent="0.25">
      <c r="B465" s="5"/>
      <c r="C465" s="5"/>
      <c r="D465" s="5"/>
      <c r="E465" s="5"/>
      <c r="F465" s="5"/>
      <c r="G465" s="5"/>
      <c r="H465" s="5"/>
      <c r="I465" s="5"/>
      <c r="J465" s="5"/>
    </row>
    <row r="466" spans="2:10" x14ac:dyDescent="0.25">
      <c r="B466" s="5"/>
      <c r="C466" s="5"/>
      <c r="D466" s="5"/>
      <c r="E466" s="5"/>
      <c r="F466" s="5"/>
      <c r="G466" s="5"/>
      <c r="H466" s="5"/>
      <c r="I466" s="5"/>
      <c r="J466" s="5"/>
    </row>
    <row r="467" spans="2:10" x14ac:dyDescent="0.25">
      <c r="B467" s="5"/>
      <c r="C467" s="5"/>
      <c r="D467" s="5"/>
      <c r="E467" s="5"/>
      <c r="F467" s="5"/>
      <c r="G467" s="5"/>
      <c r="H467" s="5"/>
      <c r="I467" s="5"/>
      <c r="J467" s="5"/>
    </row>
    <row r="468" spans="2:10" x14ac:dyDescent="0.25">
      <c r="B468" s="5"/>
      <c r="C468" s="5"/>
      <c r="D468" s="5"/>
      <c r="E468" s="5"/>
      <c r="F468" s="5"/>
      <c r="G468" s="5"/>
      <c r="H468" s="5"/>
      <c r="I468" s="5"/>
      <c r="J468" s="5"/>
    </row>
  </sheetData>
  <mergeCells count="2">
    <mergeCell ref="B6:D6"/>
    <mergeCell ref="E6:G6"/>
  </mergeCells>
  <conditionalFormatting sqref="B3">
    <cfRule type="duplicateValues" dxfId="39" priority="1"/>
  </conditionalFormatting>
  <hyperlinks>
    <hyperlink ref="B3" location="SUMMARY!A1" display="Bro Samson O. Odeyemi" xr:uid="{DEB7A8F1-B801-4DC9-BF05-A50248ECACA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1311-0F91-4026-B5A0-801135EC9882}">
  <dimension ref="A1:J473"/>
  <sheetViews>
    <sheetView workbookViewId="0"/>
  </sheetViews>
  <sheetFormatPr defaultRowHeight="15" x14ac:dyDescent="0.25"/>
  <cols>
    <col min="1" max="1" width="12" customWidth="1"/>
    <col min="3" max="3" width="10.5703125" bestFit="1" customWidth="1"/>
    <col min="4" max="4" width="12.28515625" bestFit="1" customWidth="1"/>
    <col min="5" max="5" width="10.5703125" bestFit="1" customWidth="1"/>
    <col min="6" max="7" width="12.285156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49</v>
      </c>
      <c r="C3" s="5"/>
      <c r="D3" t="s">
        <v>96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/>
      <c r="E8" s="5"/>
      <c r="F8" s="5">
        <v>-244504.7</v>
      </c>
      <c r="G8" s="5">
        <f>F8</f>
        <v>-244504.7</v>
      </c>
      <c r="H8" s="5"/>
      <c r="I8" s="5"/>
      <c r="J8" s="5"/>
    </row>
    <row r="9" spans="1:10" x14ac:dyDescent="0.25">
      <c r="A9" s="3">
        <v>46087</v>
      </c>
      <c r="B9" s="5"/>
      <c r="C9" s="5"/>
      <c r="D9" s="5"/>
      <c r="E9" s="5">
        <v>30000</v>
      </c>
      <c r="F9" s="5"/>
      <c r="G9" s="5">
        <f>+G8+E9</f>
        <v>-214504.7</v>
      </c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  <row r="369" spans="2:10" x14ac:dyDescent="0.25">
      <c r="B369" s="5"/>
      <c r="C369" s="5"/>
      <c r="D369" s="5"/>
      <c r="E369" s="5"/>
      <c r="F369" s="5"/>
      <c r="G369" s="5"/>
      <c r="H369" s="5"/>
      <c r="I369" s="5"/>
      <c r="J369" s="5"/>
    </row>
    <row r="370" spans="2:10" x14ac:dyDescent="0.25">
      <c r="B370" s="5"/>
      <c r="C370" s="5"/>
      <c r="D370" s="5"/>
      <c r="E370" s="5"/>
      <c r="F370" s="5"/>
      <c r="G370" s="5"/>
      <c r="H370" s="5"/>
      <c r="I370" s="5"/>
      <c r="J370" s="5"/>
    </row>
    <row r="371" spans="2:10" x14ac:dyDescent="0.25">
      <c r="B371" s="5"/>
      <c r="C371" s="5"/>
      <c r="D371" s="5"/>
      <c r="E371" s="5"/>
      <c r="F371" s="5"/>
      <c r="G371" s="5"/>
      <c r="H371" s="5"/>
      <c r="I371" s="5"/>
      <c r="J371" s="5"/>
    </row>
    <row r="372" spans="2:10" x14ac:dyDescent="0.25">
      <c r="B372" s="5"/>
      <c r="C372" s="5"/>
      <c r="D372" s="5"/>
      <c r="E372" s="5"/>
      <c r="F372" s="5"/>
      <c r="G372" s="5"/>
      <c r="H372" s="5"/>
      <c r="I372" s="5"/>
      <c r="J372" s="5"/>
    </row>
    <row r="373" spans="2:10" x14ac:dyDescent="0.25">
      <c r="B373" s="5"/>
      <c r="C373" s="5"/>
      <c r="D373" s="5"/>
      <c r="E373" s="5"/>
      <c r="F373" s="5"/>
      <c r="G373" s="5"/>
      <c r="H373" s="5"/>
      <c r="I373" s="5"/>
      <c r="J373" s="5"/>
    </row>
    <row r="374" spans="2:10" x14ac:dyDescent="0.25">
      <c r="B374" s="5"/>
      <c r="C374" s="5"/>
      <c r="D374" s="5"/>
      <c r="E374" s="5"/>
      <c r="F374" s="5"/>
      <c r="G374" s="5"/>
      <c r="H374" s="5"/>
      <c r="I374" s="5"/>
      <c r="J374" s="5"/>
    </row>
    <row r="375" spans="2:10" x14ac:dyDescent="0.25">
      <c r="B375" s="5"/>
      <c r="C375" s="5"/>
      <c r="D375" s="5"/>
      <c r="E375" s="5"/>
      <c r="F375" s="5"/>
      <c r="G375" s="5"/>
      <c r="H375" s="5"/>
      <c r="I375" s="5"/>
      <c r="J375" s="5"/>
    </row>
    <row r="376" spans="2:10" x14ac:dyDescent="0.25">
      <c r="B376" s="5"/>
      <c r="C376" s="5"/>
      <c r="D376" s="5"/>
      <c r="E376" s="5"/>
      <c r="F376" s="5"/>
      <c r="G376" s="5"/>
      <c r="H376" s="5"/>
      <c r="I376" s="5"/>
      <c r="J376" s="5"/>
    </row>
    <row r="377" spans="2:10" x14ac:dyDescent="0.25">
      <c r="B377" s="5"/>
      <c r="C377" s="5"/>
      <c r="D377" s="5"/>
      <c r="E377" s="5"/>
      <c r="F377" s="5"/>
      <c r="G377" s="5"/>
      <c r="H377" s="5"/>
      <c r="I377" s="5"/>
      <c r="J377" s="5"/>
    </row>
    <row r="378" spans="2:10" x14ac:dyDescent="0.25">
      <c r="B378" s="5"/>
      <c r="C378" s="5"/>
      <c r="D378" s="5"/>
      <c r="E378" s="5"/>
      <c r="F378" s="5"/>
      <c r="G378" s="5"/>
      <c r="H378" s="5"/>
      <c r="I378" s="5"/>
      <c r="J378" s="5"/>
    </row>
    <row r="379" spans="2:10" x14ac:dyDescent="0.25">
      <c r="B379" s="5"/>
      <c r="C379" s="5"/>
      <c r="D379" s="5"/>
      <c r="E379" s="5"/>
      <c r="F379" s="5"/>
      <c r="G379" s="5"/>
      <c r="H379" s="5"/>
      <c r="I379" s="5"/>
      <c r="J379" s="5"/>
    </row>
    <row r="380" spans="2:10" x14ac:dyDescent="0.25">
      <c r="B380" s="5"/>
      <c r="C380" s="5"/>
      <c r="D380" s="5"/>
      <c r="E380" s="5"/>
      <c r="F380" s="5"/>
      <c r="G380" s="5"/>
      <c r="H380" s="5"/>
      <c r="I380" s="5"/>
      <c r="J380" s="5"/>
    </row>
    <row r="381" spans="2:10" x14ac:dyDescent="0.25">
      <c r="B381" s="5"/>
      <c r="C381" s="5"/>
      <c r="D381" s="5"/>
      <c r="E381" s="5"/>
      <c r="F381" s="5"/>
      <c r="G381" s="5"/>
      <c r="H381" s="5"/>
      <c r="I381" s="5"/>
      <c r="J381" s="5"/>
    </row>
    <row r="382" spans="2:10" x14ac:dyDescent="0.25">
      <c r="B382" s="5"/>
      <c r="C382" s="5"/>
      <c r="D382" s="5"/>
      <c r="E382" s="5"/>
      <c r="F382" s="5"/>
      <c r="G382" s="5"/>
      <c r="H382" s="5"/>
      <c r="I382" s="5"/>
      <c r="J382" s="5"/>
    </row>
    <row r="383" spans="2:10" x14ac:dyDescent="0.25">
      <c r="B383" s="5"/>
      <c r="C383" s="5"/>
      <c r="D383" s="5"/>
      <c r="E383" s="5"/>
      <c r="F383" s="5"/>
      <c r="G383" s="5"/>
      <c r="H383" s="5"/>
      <c r="I383" s="5"/>
      <c r="J383" s="5"/>
    </row>
    <row r="384" spans="2:10" x14ac:dyDescent="0.25">
      <c r="B384" s="5"/>
      <c r="C384" s="5"/>
      <c r="D384" s="5"/>
      <c r="E384" s="5"/>
      <c r="F384" s="5"/>
      <c r="G384" s="5"/>
      <c r="H384" s="5"/>
      <c r="I384" s="5"/>
      <c r="J384" s="5"/>
    </row>
    <row r="385" spans="2:10" x14ac:dyDescent="0.25">
      <c r="B385" s="5"/>
      <c r="C385" s="5"/>
      <c r="D385" s="5"/>
      <c r="E385" s="5"/>
      <c r="F385" s="5"/>
      <c r="G385" s="5"/>
      <c r="H385" s="5"/>
      <c r="I385" s="5"/>
      <c r="J385" s="5"/>
    </row>
    <row r="386" spans="2:10" x14ac:dyDescent="0.25">
      <c r="B386" s="5"/>
      <c r="C386" s="5"/>
      <c r="D386" s="5"/>
      <c r="E386" s="5"/>
      <c r="F386" s="5"/>
      <c r="G386" s="5"/>
      <c r="H386" s="5"/>
      <c r="I386" s="5"/>
      <c r="J386" s="5"/>
    </row>
    <row r="387" spans="2:10" x14ac:dyDescent="0.25">
      <c r="B387" s="5"/>
      <c r="C387" s="5"/>
      <c r="D387" s="5"/>
      <c r="E387" s="5"/>
      <c r="F387" s="5"/>
      <c r="G387" s="5"/>
      <c r="H387" s="5"/>
      <c r="I387" s="5"/>
      <c r="J387" s="5"/>
    </row>
    <row r="388" spans="2:10" x14ac:dyDescent="0.25">
      <c r="B388" s="5"/>
      <c r="C388" s="5"/>
      <c r="D388" s="5"/>
      <c r="E388" s="5"/>
      <c r="F388" s="5"/>
      <c r="G388" s="5"/>
      <c r="H388" s="5"/>
      <c r="I388" s="5"/>
      <c r="J388" s="5"/>
    </row>
    <row r="389" spans="2:10" x14ac:dyDescent="0.25">
      <c r="B389" s="5"/>
      <c r="C389" s="5"/>
      <c r="D389" s="5"/>
      <c r="E389" s="5"/>
      <c r="F389" s="5"/>
      <c r="G389" s="5"/>
      <c r="H389" s="5"/>
      <c r="I389" s="5"/>
      <c r="J389" s="5"/>
    </row>
    <row r="390" spans="2:10" x14ac:dyDescent="0.25">
      <c r="B390" s="5"/>
      <c r="C390" s="5"/>
      <c r="D390" s="5"/>
      <c r="E390" s="5"/>
      <c r="F390" s="5"/>
      <c r="G390" s="5"/>
      <c r="H390" s="5"/>
      <c r="I390" s="5"/>
      <c r="J390" s="5"/>
    </row>
    <row r="391" spans="2:10" x14ac:dyDescent="0.25">
      <c r="B391" s="5"/>
      <c r="C391" s="5"/>
      <c r="D391" s="5"/>
      <c r="E391" s="5"/>
      <c r="F391" s="5"/>
      <c r="G391" s="5"/>
      <c r="H391" s="5"/>
      <c r="I391" s="5"/>
      <c r="J391" s="5"/>
    </row>
    <row r="392" spans="2:10" x14ac:dyDescent="0.25">
      <c r="B392" s="5"/>
      <c r="C392" s="5"/>
      <c r="D392" s="5"/>
      <c r="E392" s="5"/>
      <c r="F392" s="5"/>
      <c r="G392" s="5"/>
      <c r="H392" s="5"/>
      <c r="I392" s="5"/>
      <c r="J392" s="5"/>
    </row>
    <row r="393" spans="2:10" x14ac:dyDescent="0.25">
      <c r="B393" s="5"/>
      <c r="C393" s="5"/>
      <c r="D393" s="5"/>
      <c r="E393" s="5"/>
      <c r="F393" s="5"/>
      <c r="G393" s="5"/>
      <c r="H393" s="5"/>
      <c r="I393" s="5"/>
      <c r="J393" s="5"/>
    </row>
    <row r="394" spans="2:10" x14ac:dyDescent="0.25">
      <c r="B394" s="5"/>
      <c r="C394" s="5"/>
      <c r="D394" s="5"/>
      <c r="E394" s="5"/>
      <c r="F394" s="5"/>
      <c r="G394" s="5"/>
      <c r="H394" s="5"/>
      <c r="I394" s="5"/>
      <c r="J394" s="5"/>
    </row>
    <row r="395" spans="2:10" x14ac:dyDescent="0.25">
      <c r="B395" s="5"/>
      <c r="C395" s="5"/>
      <c r="D395" s="5"/>
      <c r="E395" s="5"/>
      <c r="F395" s="5"/>
      <c r="G395" s="5"/>
      <c r="H395" s="5"/>
      <c r="I395" s="5"/>
      <c r="J395" s="5"/>
    </row>
    <row r="396" spans="2:10" x14ac:dyDescent="0.25">
      <c r="B396" s="5"/>
      <c r="C396" s="5"/>
      <c r="D396" s="5"/>
      <c r="E396" s="5"/>
      <c r="F396" s="5"/>
      <c r="G396" s="5"/>
      <c r="H396" s="5"/>
      <c r="I396" s="5"/>
      <c r="J396" s="5"/>
    </row>
    <row r="397" spans="2:10" x14ac:dyDescent="0.25">
      <c r="B397" s="5"/>
      <c r="C397" s="5"/>
      <c r="D397" s="5"/>
      <c r="E397" s="5"/>
      <c r="F397" s="5"/>
      <c r="G397" s="5"/>
      <c r="H397" s="5"/>
      <c r="I397" s="5"/>
      <c r="J397" s="5"/>
    </row>
    <row r="398" spans="2:10" x14ac:dyDescent="0.25">
      <c r="B398" s="5"/>
      <c r="C398" s="5"/>
      <c r="D398" s="5"/>
      <c r="E398" s="5"/>
      <c r="F398" s="5"/>
      <c r="G398" s="5"/>
      <c r="H398" s="5"/>
      <c r="I398" s="5"/>
      <c r="J398" s="5"/>
    </row>
    <row r="399" spans="2:10" x14ac:dyDescent="0.25">
      <c r="B399" s="5"/>
      <c r="C399" s="5"/>
      <c r="D399" s="5"/>
      <c r="E399" s="5"/>
      <c r="F399" s="5"/>
      <c r="G399" s="5"/>
      <c r="H399" s="5"/>
      <c r="I399" s="5"/>
      <c r="J399" s="5"/>
    </row>
    <row r="400" spans="2:10" x14ac:dyDescent="0.25">
      <c r="B400" s="5"/>
      <c r="C400" s="5"/>
      <c r="D400" s="5"/>
      <c r="E400" s="5"/>
      <c r="F400" s="5"/>
      <c r="G400" s="5"/>
      <c r="H400" s="5"/>
      <c r="I400" s="5"/>
      <c r="J400" s="5"/>
    </row>
    <row r="401" spans="2:10" x14ac:dyDescent="0.25">
      <c r="B401" s="5"/>
      <c r="C401" s="5"/>
      <c r="D401" s="5"/>
      <c r="E401" s="5"/>
      <c r="F401" s="5"/>
      <c r="G401" s="5"/>
      <c r="H401" s="5"/>
      <c r="I401" s="5"/>
      <c r="J401" s="5"/>
    </row>
    <row r="402" spans="2:10" x14ac:dyDescent="0.25">
      <c r="B402" s="5"/>
      <c r="C402" s="5"/>
      <c r="D402" s="5"/>
      <c r="E402" s="5"/>
      <c r="F402" s="5"/>
      <c r="G402" s="5"/>
      <c r="H402" s="5"/>
      <c r="I402" s="5"/>
      <c r="J402" s="5"/>
    </row>
    <row r="403" spans="2:10" x14ac:dyDescent="0.25">
      <c r="B403" s="5"/>
      <c r="C403" s="5"/>
      <c r="D403" s="5"/>
      <c r="E403" s="5"/>
      <c r="F403" s="5"/>
      <c r="G403" s="5"/>
      <c r="H403" s="5"/>
      <c r="I403" s="5"/>
      <c r="J403" s="5"/>
    </row>
    <row r="404" spans="2:10" x14ac:dyDescent="0.25">
      <c r="B404" s="5"/>
      <c r="C404" s="5"/>
      <c r="D404" s="5"/>
      <c r="E404" s="5"/>
      <c r="F404" s="5"/>
      <c r="G404" s="5"/>
      <c r="H404" s="5"/>
      <c r="I404" s="5"/>
      <c r="J404" s="5"/>
    </row>
    <row r="405" spans="2:10" x14ac:dyDescent="0.25">
      <c r="B405" s="5"/>
      <c r="C405" s="5"/>
      <c r="D405" s="5"/>
      <c r="E405" s="5"/>
      <c r="F405" s="5"/>
      <c r="G405" s="5"/>
      <c r="H405" s="5"/>
      <c r="I405" s="5"/>
      <c r="J405" s="5"/>
    </row>
    <row r="406" spans="2:10" x14ac:dyDescent="0.25">
      <c r="B406" s="5"/>
      <c r="C406" s="5"/>
      <c r="D406" s="5"/>
      <c r="E406" s="5"/>
      <c r="F406" s="5"/>
      <c r="G406" s="5"/>
      <c r="H406" s="5"/>
      <c r="I406" s="5"/>
      <c r="J406" s="5"/>
    </row>
    <row r="407" spans="2:10" x14ac:dyDescent="0.25">
      <c r="B407" s="5"/>
      <c r="C407" s="5"/>
      <c r="D407" s="5"/>
      <c r="E407" s="5"/>
      <c r="F407" s="5"/>
      <c r="G407" s="5"/>
      <c r="H407" s="5"/>
      <c r="I407" s="5"/>
      <c r="J407" s="5"/>
    </row>
    <row r="408" spans="2:10" x14ac:dyDescent="0.25">
      <c r="B408" s="5"/>
      <c r="C408" s="5"/>
      <c r="D408" s="5"/>
      <c r="E408" s="5"/>
      <c r="F408" s="5"/>
      <c r="G408" s="5"/>
      <c r="H408" s="5"/>
      <c r="I408" s="5"/>
      <c r="J408" s="5"/>
    </row>
    <row r="409" spans="2:10" x14ac:dyDescent="0.25">
      <c r="B409" s="5"/>
      <c r="C409" s="5"/>
      <c r="D409" s="5"/>
      <c r="E409" s="5"/>
      <c r="F409" s="5"/>
      <c r="G409" s="5"/>
      <c r="H409" s="5"/>
      <c r="I409" s="5"/>
      <c r="J409" s="5"/>
    </row>
    <row r="410" spans="2:10" x14ac:dyDescent="0.25">
      <c r="B410" s="5"/>
      <c r="C410" s="5"/>
      <c r="D410" s="5"/>
      <c r="E410" s="5"/>
      <c r="F410" s="5"/>
      <c r="G410" s="5"/>
      <c r="H410" s="5"/>
      <c r="I410" s="5"/>
      <c r="J410" s="5"/>
    </row>
    <row r="411" spans="2:10" x14ac:dyDescent="0.25">
      <c r="B411" s="5"/>
      <c r="C411" s="5"/>
      <c r="D411" s="5"/>
      <c r="E411" s="5"/>
      <c r="F411" s="5"/>
      <c r="G411" s="5"/>
      <c r="H411" s="5"/>
      <c r="I411" s="5"/>
      <c r="J411" s="5"/>
    </row>
    <row r="412" spans="2:10" x14ac:dyDescent="0.25">
      <c r="B412" s="5"/>
      <c r="C412" s="5"/>
      <c r="D412" s="5"/>
      <c r="E412" s="5"/>
      <c r="F412" s="5"/>
      <c r="G412" s="5"/>
      <c r="H412" s="5"/>
      <c r="I412" s="5"/>
      <c r="J412" s="5"/>
    </row>
    <row r="413" spans="2:10" x14ac:dyDescent="0.25">
      <c r="B413" s="5"/>
      <c r="C413" s="5"/>
      <c r="D413" s="5"/>
      <c r="E413" s="5"/>
      <c r="F413" s="5"/>
      <c r="G413" s="5"/>
      <c r="H413" s="5"/>
      <c r="I413" s="5"/>
      <c r="J413" s="5"/>
    </row>
    <row r="414" spans="2:10" x14ac:dyDescent="0.25">
      <c r="B414" s="5"/>
      <c r="C414" s="5"/>
      <c r="D414" s="5"/>
      <c r="E414" s="5"/>
      <c r="F414" s="5"/>
      <c r="G414" s="5"/>
      <c r="H414" s="5"/>
      <c r="I414" s="5"/>
      <c r="J414" s="5"/>
    </row>
    <row r="415" spans="2:10" x14ac:dyDescent="0.25">
      <c r="B415" s="5"/>
      <c r="C415" s="5"/>
      <c r="D415" s="5"/>
      <c r="E415" s="5"/>
      <c r="F415" s="5"/>
      <c r="G415" s="5"/>
      <c r="H415" s="5"/>
      <c r="I415" s="5"/>
      <c r="J415" s="5"/>
    </row>
    <row r="416" spans="2:10" x14ac:dyDescent="0.25">
      <c r="B416" s="5"/>
      <c r="C416" s="5"/>
      <c r="D416" s="5"/>
      <c r="E416" s="5"/>
      <c r="F416" s="5"/>
      <c r="G416" s="5"/>
      <c r="H416" s="5"/>
      <c r="I416" s="5"/>
      <c r="J416" s="5"/>
    </row>
    <row r="417" spans="2:10" x14ac:dyDescent="0.25">
      <c r="B417" s="5"/>
      <c r="C417" s="5"/>
      <c r="D417" s="5"/>
      <c r="E417" s="5"/>
      <c r="F417" s="5"/>
      <c r="G417" s="5"/>
      <c r="H417" s="5"/>
      <c r="I417" s="5"/>
      <c r="J417" s="5"/>
    </row>
    <row r="418" spans="2:10" x14ac:dyDescent="0.25">
      <c r="B418" s="5"/>
      <c r="C418" s="5"/>
      <c r="D418" s="5"/>
      <c r="E418" s="5"/>
      <c r="F418" s="5"/>
      <c r="G418" s="5"/>
      <c r="H418" s="5"/>
      <c r="I418" s="5"/>
      <c r="J418" s="5"/>
    </row>
    <row r="419" spans="2:10" x14ac:dyDescent="0.25">
      <c r="B419" s="5"/>
      <c r="C419" s="5"/>
      <c r="D419" s="5"/>
      <c r="E419" s="5"/>
      <c r="F419" s="5"/>
      <c r="G419" s="5"/>
      <c r="H419" s="5"/>
      <c r="I419" s="5"/>
      <c r="J419" s="5"/>
    </row>
    <row r="420" spans="2:10" x14ac:dyDescent="0.25">
      <c r="B420" s="5"/>
      <c r="C420" s="5"/>
      <c r="D420" s="5"/>
      <c r="E420" s="5"/>
      <c r="F420" s="5"/>
      <c r="G420" s="5"/>
      <c r="H420" s="5"/>
      <c r="I420" s="5"/>
      <c r="J420" s="5"/>
    </row>
    <row r="421" spans="2:10" x14ac:dyDescent="0.25">
      <c r="B421" s="5"/>
      <c r="C421" s="5"/>
      <c r="D421" s="5"/>
      <c r="E421" s="5"/>
      <c r="F421" s="5"/>
      <c r="G421" s="5"/>
      <c r="H421" s="5"/>
      <c r="I421" s="5"/>
      <c r="J421" s="5"/>
    </row>
    <row r="422" spans="2:10" x14ac:dyDescent="0.25">
      <c r="B422" s="5"/>
      <c r="C422" s="5"/>
      <c r="D422" s="5"/>
      <c r="E422" s="5"/>
      <c r="F422" s="5"/>
      <c r="G422" s="5"/>
      <c r="H422" s="5"/>
      <c r="I422" s="5"/>
      <c r="J422" s="5"/>
    </row>
    <row r="423" spans="2:10" x14ac:dyDescent="0.25">
      <c r="B423" s="5"/>
      <c r="C423" s="5"/>
      <c r="D423" s="5"/>
      <c r="E423" s="5"/>
      <c r="F423" s="5"/>
      <c r="G423" s="5"/>
      <c r="H423" s="5"/>
      <c r="I423" s="5"/>
      <c r="J423" s="5"/>
    </row>
    <row r="424" spans="2:10" x14ac:dyDescent="0.25">
      <c r="B424" s="5"/>
      <c r="C424" s="5"/>
      <c r="D424" s="5"/>
      <c r="E424" s="5"/>
      <c r="F424" s="5"/>
      <c r="G424" s="5"/>
      <c r="H424" s="5"/>
      <c r="I424" s="5"/>
      <c r="J424" s="5"/>
    </row>
    <row r="425" spans="2:10" x14ac:dyDescent="0.25">
      <c r="B425" s="5"/>
      <c r="C425" s="5"/>
      <c r="D425" s="5"/>
      <c r="E425" s="5"/>
      <c r="F425" s="5"/>
      <c r="G425" s="5"/>
      <c r="H425" s="5"/>
      <c r="I425" s="5"/>
      <c r="J425" s="5"/>
    </row>
    <row r="426" spans="2:10" x14ac:dyDescent="0.25">
      <c r="B426" s="5"/>
      <c r="C426" s="5"/>
      <c r="D426" s="5"/>
      <c r="E426" s="5"/>
      <c r="F426" s="5"/>
      <c r="G426" s="5"/>
      <c r="H426" s="5"/>
      <c r="I426" s="5"/>
      <c r="J426" s="5"/>
    </row>
    <row r="427" spans="2:10" x14ac:dyDescent="0.25">
      <c r="B427" s="5"/>
      <c r="C427" s="5"/>
      <c r="D427" s="5"/>
      <c r="E427" s="5"/>
      <c r="F427" s="5"/>
      <c r="G427" s="5"/>
      <c r="H427" s="5"/>
      <c r="I427" s="5"/>
      <c r="J427" s="5"/>
    </row>
    <row r="428" spans="2:10" x14ac:dyDescent="0.25">
      <c r="B428" s="5"/>
      <c r="C428" s="5"/>
      <c r="D428" s="5"/>
      <c r="E428" s="5"/>
      <c r="F428" s="5"/>
      <c r="G428" s="5"/>
      <c r="H428" s="5"/>
      <c r="I428" s="5"/>
      <c r="J428" s="5"/>
    </row>
    <row r="429" spans="2:10" x14ac:dyDescent="0.25">
      <c r="B429" s="5"/>
      <c r="C429" s="5"/>
      <c r="D429" s="5"/>
      <c r="E429" s="5"/>
      <c r="F429" s="5"/>
      <c r="G429" s="5"/>
      <c r="H429" s="5"/>
      <c r="I429" s="5"/>
      <c r="J429" s="5"/>
    </row>
    <row r="430" spans="2:10" x14ac:dyDescent="0.25">
      <c r="B430" s="5"/>
      <c r="C430" s="5"/>
      <c r="D430" s="5"/>
      <c r="E430" s="5"/>
      <c r="F430" s="5"/>
      <c r="G430" s="5"/>
      <c r="H430" s="5"/>
      <c r="I430" s="5"/>
      <c r="J430" s="5"/>
    </row>
    <row r="431" spans="2:10" x14ac:dyDescent="0.25">
      <c r="B431" s="5"/>
      <c r="C431" s="5"/>
      <c r="D431" s="5"/>
      <c r="E431" s="5"/>
      <c r="F431" s="5"/>
      <c r="G431" s="5"/>
      <c r="H431" s="5"/>
      <c r="I431" s="5"/>
      <c r="J431" s="5"/>
    </row>
    <row r="432" spans="2:10" x14ac:dyDescent="0.25">
      <c r="B432" s="5"/>
      <c r="C432" s="5"/>
      <c r="D432" s="5"/>
      <c r="E432" s="5"/>
      <c r="F432" s="5"/>
      <c r="G432" s="5"/>
      <c r="H432" s="5"/>
      <c r="I432" s="5"/>
      <c r="J432" s="5"/>
    </row>
    <row r="433" spans="2:10" x14ac:dyDescent="0.25">
      <c r="B433" s="5"/>
      <c r="C433" s="5"/>
      <c r="D433" s="5"/>
      <c r="E433" s="5"/>
      <c r="F433" s="5"/>
      <c r="G433" s="5"/>
      <c r="H433" s="5"/>
      <c r="I433" s="5"/>
      <c r="J433" s="5"/>
    </row>
    <row r="434" spans="2:10" x14ac:dyDescent="0.25">
      <c r="B434" s="5"/>
      <c r="C434" s="5"/>
      <c r="D434" s="5"/>
      <c r="E434" s="5"/>
      <c r="F434" s="5"/>
      <c r="G434" s="5"/>
      <c r="H434" s="5"/>
      <c r="I434" s="5"/>
      <c r="J434" s="5"/>
    </row>
    <row r="435" spans="2:10" x14ac:dyDescent="0.25">
      <c r="B435" s="5"/>
      <c r="C435" s="5"/>
      <c r="D435" s="5"/>
      <c r="E435" s="5"/>
      <c r="F435" s="5"/>
      <c r="G435" s="5"/>
      <c r="H435" s="5"/>
      <c r="I435" s="5"/>
      <c r="J435" s="5"/>
    </row>
    <row r="436" spans="2:10" x14ac:dyDescent="0.25">
      <c r="B436" s="5"/>
      <c r="C436" s="5"/>
      <c r="D436" s="5"/>
      <c r="E436" s="5"/>
      <c r="F436" s="5"/>
      <c r="G436" s="5"/>
      <c r="H436" s="5"/>
      <c r="I436" s="5"/>
      <c r="J436" s="5"/>
    </row>
    <row r="437" spans="2:10" x14ac:dyDescent="0.25">
      <c r="B437" s="5"/>
      <c r="C437" s="5"/>
      <c r="D437" s="5"/>
      <c r="E437" s="5"/>
      <c r="F437" s="5"/>
      <c r="G437" s="5"/>
      <c r="H437" s="5"/>
      <c r="I437" s="5"/>
      <c r="J437" s="5"/>
    </row>
    <row r="438" spans="2:10" x14ac:dyDescent="0.25">
      <c r="B438" s="5"/>
      <c r="C438" s="5"/>
      <c r="D438" s="5"/>
      <c r="E438" s="5"/>
      <c r="F438" s="5"/>
      <c r="G438" s="5"/>
      <c r="H438" s="5"/>
      <c r="I438" s="5"/>
      <c r="J438" s="5"/>
    </row>
    <row r="439" spans="2:10" x14ac:dyDescent="0.25">
      <c r="B439" s="5"/>
      <c r="C439" s="5"/>
      <c r="D439" s="5"/>
      <c r="E439" s="5"/>
      <c r="F439" s="5"/>
      <c r="G439" s="5"/>
      <c r="H439" s="5"/>
      <c r="I439" s="5"/>
      <c r="J439" s="5"/>
    </row>
    <row r="440" spans="2:10" x14ac:dyDescent="0.25">
      <c r="B440" s="5"/>
      <c r="C440" s="5"/>
      <c r="D440" s="5"/>
      <c r="E440" s="5"/>
      <c r="F440" s="5"/>
      <c r="G440" s="5"/>
      <c r="H440" s="5"/>
      <c r="I440" s="5"/>
      <c r="J440" s="5"/>
    </row>
    <row r="441" spans="2:10" x14ac:dyDescent="0.25">
      <c r="B441" s="5"/>
      <c r="C441" s="5"/>
      <c r="D441" s="5"/>
      <c r="E441" s="5"/>
      <c r="F441" s="5"/>
      <c r="G441" s="5"/>
      <c r="H441" s="5"/>
      <c r="I441" s="5"/>
      <c r="J441" s="5"/>
    </row>
    <row r="442" spans="2:10" x14ac:dyDescent="0.25">
      <c r="B442" s="5"/>
      <c r="C442" s="5"/>
      <c r="D442" s="5"/>
      <c r="E442" s="5"/>
      <c r="F442" s="5"/>
      <c r="G442" s="5"/>
      <c r="H442" s="5"/>
      <c r="I442" s="5"/>
      <c r="J442" s="5"/>
    </row>
    <row r="443" spans="2:10" x14ac:dyDescent="0.25">
      <c r="B443" s="5"/>
      <c r="C443" s="5"/>
      <c r="D443" s="5"/>
      <c r="E443" s="5"/>
      <c r="F443" s="5"/>
      <c r="G443" s="5"/>
      <c r="H443" s="5"/>
      <c r="I443" s="5"/>
      <c r="J443" s="5"/>
    </row>
    <row r="444" spans="2:10" x14ac:dyDescent="0.25">
      <c r="B444" s="5"/>
      <c r="C444" s="5"/>
      <c r="D444" s="5"/>
      <c r="E444" s="5"/>
      <c r="F444" s="5"/>
      <c r="G444" s="5"/>
      <c r="H444" s="5"/>
      <c r="I444" s="5"/>
      <c r="J444" s="5"/>
    </row>
    <row r="445" spans="2:10" x14ac:dyDescent="0.25">
      <c r="B445" s="5"/>
      <c r="C445" s="5"/>
      <c r="D445" s="5"/>
      <c r="E445" s="5"/>
      <c r="F445" s="5"/>
      <c r="G445" s="5"/>
      <c r="H445" s="5"/>
      <c r="I445" s="5"/>
      <c r="J445" s="5"/>
    </row>
    <row r="446" spans="2:10" x14ac:dyDescent="0.25">
      <c r="B446" s="5"/>
      <c r="C446" s="5"/>
      <c r="D446" s="5"/>
      <c r="E446" s="5"/>
      <c r="F446" s="5"/>
      <c r="G446" s="5"/>
      <c r="H446" s="5"/>
      <c r="I446" s="5"/>
      <c r="J446" s="5"/>
    </row>
    <row r="447" spans="2:10" x14ac:dyDescent="0.25">
      <c r="B447" s="5"/>
      <c r="C447" s="5"/>
      <c r="D447" s="5"/>
      <c r="E447" s="5"/>
      <c r="F447" s="5"/>
      <c r="G447" s="5"/>
      <c r="H447" s="5"/>
      <c r="I447" s="5"/>
      <c r="J447" s="5"/>
    </row>
    <row r="448" spans="2:10" x14ac:dyDescent="0.25">
      <c r="B448" s="5"/>
      <c r="C448" s="5"/>
      <c r="D448" s="5"/>
      <c r="E448" s="5"/>
      <c r="F448" s="5"/>
      <c r="G448" s="5"/>
      <c r="H448" s="5"/>
      <c r="I448" s="5"/>
      <c r="J448" s="5"/>
    </row>
    <row r="449" spans="2:10" x14ac:dyDescent="0.25">
      <c r="B449" s="5"/>
      <c r="C449" s="5"/>
      <c r="D449" s="5"/>
      <c r="E449" s="5"/>
      <c r="F449" s="5"/>
      <c r="G449" s="5"/>
      <c r="H449" s="5"/>
      <c r="I449" s="5"/>
      <c r="J449" s="5"/>
    </row>
    <row r="450" spans="2:10" x14ac:dyDescent="0.25">
      <c r="B450" s="5"/>
      <c r="C450" s="5"/>
      <c r="D450" s="5"/>
      <c r="E450" s="5"/>
      <c r="F450" s="5"/>
      <c r="G450" s="5"/>
      <c r="H450" s="5"/>
      <c r="I450" s="5"/>
      <c r="J450" s="5"/>
    </row>
    <row r="451" spans="2:10" x14ac:dyDescent="0.25">
      <c r="B451" s="5"/>
      <c r="C451" s="5"/>
      <c r="D451" s="5"/>
      <c r="E451" s="5"/>
      <c r="F451" s="5"/>
      <c r="G451" s="5"/>
      <c r="H451" s="5"/>
      <c r="I451" s="5"/>
      <c r="J451" s="5"/>
    </row>
    <row r="452" spans="2:10" x14ac:dyDescent="0.25">
      <c r="B452" s="5"/>
      <c r="C452" s="5"/>
      <c r="D452" s="5"/>
      <c r="E452" s="5"/>
      <c r="F452" s="5"/>
      <c r="G452" s="5"/>
      <c r="H452" s="5"/>
      <c r="I452" s="5"/>
      <c r="J452" s="5"/>
    </row>
    <row r="453" spans="2:10" x14ac:dyDescent="0.25">
      <c r="B453" s="5"/>
      <c r="C453" s="5"/>
      <c r="D453" s="5"/>
      <c r="E453" s="5"/>
      <c r="F453" s="5"/>
      <c r="G453" s="5"/>
      <c r="H453" s="5"/>
      <c r="I453" s="5"/>
      <c r="J453" s="5"/>
    </row>
    <row r="454" spans="2:10" x14ac:dyDescent="0.25">
      <c r="B454" s="5"/>
      <c r="C454" s="5"/>
      <c r="D454" s="5"/>
      <c r="E454" s="5"/>
      <c r="F454" s="5"/>
      <c r="G454" s="5"/>
      <c r="H454" s="5"/>
      <c r="I454" s="5"/>
      <c r="J454" s="5"/>
    </row>
    <row r="455" spans="2:10" x14ac:dyDescent="0.25">
      <c r="B455" s="5"/>
      <c r="C455" s="5"/>
      <c r="D455" s="5"/>
      <c r="E455" s="5"/>
      <c r="F455" s="5"/>
      <c r="G455" s="5"/>
      <c r="H455" s="5"/>
      <c r="I455" s="5"/>
      <c r="J455" s="5"/>
    </row>
    <row r="456" spans="2:10" x14ac:dyDescent="0.25">
      <c r="B456" s="5"/>
      <c r="C456" s="5"/>
      <c r="D456" s="5"/>
      <c r="E456" s="5"/>
      <c r="F456" s="5"/>
      <c r="G456" s="5"/>
      <c r="H456" s="5"/>
      <c r="I456" s="5"/>
      <c r="J456" s="5"/>
    </row>
    <row r="457" spans="2:10" x14ac:dyDescent="0.25">
      <c r="B457" s="5"/>
      <c r="C457" s="5"/>
      <c r="D457" s="5"/>
      <c r="E457" s="5"/>
      <c r="F457" s="5"/>
      <c r="G457" s="5"/>
      <c r="H457" s="5"/>
      <c r="I457" s="5"/>
      <c r="J457" s="5"/>
    </row>
    <row r="458" spans="2:10" x14ac:dyDescent="0.25">
      <c r="B458" s="5"/>
      <c r="C458" s="5"/>
      <c r="D458" s="5"/>
      <c r="E458" s="5"/>
      <c r="F458" s="5"/>
      <c r="G458" s="5"/>
      <c r="H458" s="5"/>
      <c r="I458" s="5"/>
      <c r="J458" s="5"/>
    </row>
    <row r="459" spans="2:10" x14ac:dyDescent="0.25">
      <c r="B459" s="5"/>
      <c r="C459" s="5"/>
      <c r="D459" s="5"/>
      <c r="E459" s="5"/>
      <c r="F459" s="5"/>
      <c r="G459" s="5"/>
      <c r="H459" s="5"/>
      <c r="I459" s="5"/>
      <c r="J459" s="5"/>
    </row>
    <row r="460" spans="2:10" x14ac:dyDescent="0.25">
      <c r="B460" s="5"/>
      <c r="C460" s="5"/>
      <c r="D460" s="5"/>
      <c r="E460" s="5"/>
      <c r="F460" s="5"/>
      <c r="G460" s="5"/>
      <c r="H460" s="5"/>
      <c r="I460" s="5"/>
      <c r="J460" s="5"/>
    </row>
    <row r="461" spans="2:10" x14ac:dyDescent="0.25">
      <c r="B461" s="5"/>
      <c r="C461" s="5"/>
      <c r="D461" s="5"/>
      <c r="E461" s="5"/>
      <c r="F461" s="5"/>
      <c r="G461" s="5"/>
      <c r="H461" s="5"/>
      <c r="I461" s="5"/>
      <c r="J461" s="5"/>
    </row>
    <row r="462" spans="2:10" x14ac:dyDescent="0.25">
      <c r="B462" s="5"/>
      <c r="C462" s="5"/>
      <c r="D462" s="5"/>
      <c r="E462" s="5"/>
      <c r="F462" s="5"/>
      <c r="G462" s="5"/>
      <c r="H462" s="5"/>
      <c r="I462" s="5"/>
      <c r="J462" s="5"/>
    </row>
    <row r="463" spans="2:10" x14ac:dyDescent="0.25">
      <c r="B463" s="5"/>
      <c r="C463" s="5"/>
      <c r="D463" s="5"/>
      <c r="E463" s="5"/>
      <c r="F463" s="5"/>
      <c r="G463" s="5"/>
      <c r="H463" s="5"/>
      <c r="I463" s="5"/>
      <c r="J463" s="5"/>
    </row>
    <row r="464" spans="2:10" x14ac:dyDescent="0.25">
      <c r="B464" s="5"/>
      <c r="C464" s="5"/>
      <c r="D464" s="5"/>
      <c r="E464" s="5"/>
      <c r="F464" s="5"/>
      <c r="G464" s="5"/>
      <c r="H464" s="5"/>
      <c r="I464" s="5"/>
      <c r="J464" s="5"/>
    </row>
    <row r="465" spans="2:10" x14ac:dyDescent="0.25">
      <c r="B465" s="5"/>
      <c r="C465" s="5"/>
      <c r="D465" s="5"/>
      <c r="E465" s="5"/>
      <c r="F465" s="5"/>
      <c r="G465" s="5"/>
      <c r="H465" s="5"/>
      <c r="I465" s="5"/>
      <c r="J465" s="5"/>
    </row>
    <row r="466" spans="2:10" x14ac:dyDescent="0.25">
      <c r="B466" s="5"/>
      <c r="C466" s="5"/>
      <c r="D466" s="5"/>
      <c r="E466" s="5"/>
      <c r="F466" s="5"/>
      <c r="G466" s="5"/>
      <c r="H466" s="5"/>
      <c r="I466" s="5"/>
      <c r="J466" s="5"/>
    </row>
    <row r="467" spans="2:10" x14ac:dyDescent="0.25">
      <c r="B467" s="5"/>
      <c r="C467" s="5"/>
      <c r="D467" s="5"/>
      <c r="E467" s="5"/>
      <c r="F467" s="5"/>
      <c r="G467" s="5"/>
      <c r="H467" s="5"/>
      <c r="I467" s="5"/>
      <c r="J467" s="5"/>
    </row>
    <row r="468" spans="2:10" x14ac:dyDescent="0.25">
      <c r="B468" s="5"/>
      <c r="C468" s="5"/>
      <c r="D468" s="5"/>
      <c r="E468" s="5"/>
      <c r="F468" s="5"/>
      <c r="G468" s="5"/>
      <c r="H468" s="5"/>
      <c r="I468" s="5"/>
      <c r="J468" s="5"/>
    </row>
    <row r="469" spans="2:10" x14ac:dyDescent="0.25">
      <c r="B469" s="5"/>
      <c r="C469" s="5"/>
      <c r="D469" s="5"/>
      <c r="E469" s="5"/>
      <c r="F469" s="5"/>
      <c r="G469" s="5"/>
      <c r="H469" s="5"/>
      <c r="I469" s="5"/>
      <c r="J469" s="5"/>
    </row>
    <row r="470" spans="2:10" x14ac:dyDescent="0.25">
      <c r="B470" s="5"/>
      <c r="C470" s="5"/>
      <c r="D470" s="5"/>
      <c r="E470" s="5"/>
      <c r="F470" s="5"/>
      <c r="G470" s="5"/>
      <c r="H470" s="5"/>
      <c r="I470" s="5"/>
      <c r="J470" s="5"/>
    </row>
    <row r="471" spans="2:10" x14ac:dyDescent="0.25">
      <c r="B471" s="5"/>
      <c r="C471" s="5"/>
      <c r="D471" s="5"/>
      <c r="E471" s="5"/>
      <c r="F471" s="5"/>
      <c r="G471" s="5"/>
      <c r="H471" s="5"/>
      <c r="I471" s="5"/>
      <c r="J471" s="5"/>
    </row>
    <row r="472" spans="2:10" x14ac:dyDescent="0.25">
      <c r="B472" s="5"/>
      <c r="C472" s="5"/>
      <c r="D472" s="5"/>
      <c r="E472" s="5"/>
      <c r="F472" s="5"/>
      <c r="G472" s="5"/>
      <c r="H472" s="5"/>
      <c r="I472" s="5"/>
      <c r="J472" s="5"/>
    </row>
    <row r="473" spans="2:10" x14ac:dyDescent="0.25">
      <c r="B473" s="5"/>
      <c r="C473" s="5"/>
      <c r="D473" s="5"/>
      <c r="E473" s="5"/>
      <c r="F473" s="5"/>
      <c r="G473" s="5"/>
      <c r="H473" s="5"/>
      <c r="I473" s="5"/>
      <c r="J473" s="5"/>
    </row>
  </sheetData>
  <conditionalFormatting sqref="B3">
    <cfRule type="duplicateValues" dxfId="38" priority="1"/>
  </conditionalFormatting>
  <hyperlinks>
    <hyperlink ref="B3" location="SUMMARY!A1" display="Bro. Samuel David Ukoidem" xr:uid="{B12F8108-9EFA-4744-A1CC-CB97FDE63293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C019-44EC-4742-B6C1-85CC12D1BA55}">
  <dimension ref="A1:J548"/>
  <sheetViews>
    <sheetView workbookViewId="0">
      <selection activeCell="D9" sqref="D9"/>
    </sheetView>
  </sheetViews>
  <sheetFormatPr defaultRowHeight="15" x14ac:dyDescent="0.25"/>
  <cols>
    <col min="1" max="1" width="11.28515625" customWidth="1"/>
    <col min="3" max="3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46</v>
      </c>
      <c r="C3" s="5"/>
      <c r="D3" t="s">
        <v>97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  <row r="369" spans="2:10" x14ac:dyDescent="0.25">
      <c r="B369" s="5"/>
      <c r="C369" s="5"/>
      <c r="D369" s="5"/>
      <c r="E369" s="5"/>
      <c r="F369" s="5"/>
      <c r="G369" s="5"/>
      <c r="H369" s="5"/>
      <c r="I369" s="5"/>
      <c r="J369" s="5"/>
    </row>
    <row r="370" spans="2:10" x14ac:dyDescent="0.25">
      <c r="B370" s="5"/>
      <c r="C370" s="5"/>
      <c r="D370" s="5"/>
      <c r="E370" s="5"/>
      <c r="F370" s="5"/>
      <c r="G370" s="5"/>
      <c r="H370" s="5"/>
      <c r="I370" s="5"/>
      <c r="J370" s="5"/>
    </row>
    <row r="371" spans="2:10" x14ac:dyDescent="0.25">
      <c r="B371" s="5"/>
      <c r="C371" s="5"/>
      <c r="D371" s="5"/>
      <c r="E371" s="5"/>
      <c r="F371" s="5"/>
      <c r="G371" s="5"/>
      <c r="H371" s="5"/>
      <c r="I371" s="5"/>
      <c r="J371" s="5"/>
    </row>
    <row r="372" spans="2:10" x14ac:dyDescent="0.25">
      <c r="B372" s="5"/>
      <c r="C372" s="5"/>
      <c r="D372" s="5"/>
      <c r="E372" s="5"/>
      <c r="F372" s="5"/>
      <c r="G372" s="5"/>
      <c r="H372" s="5"/>
      <c r="I372" s="5"/>
      <c r="J372" s="5"/>
    </row>
    <row r="373" spans="2:10" x14ac:dyDescent="0.25">
      <c r="B373" s="5"/>
      <c r="C373" s="5"/>
      <c r="D373" s="5"/>
      <c r="E373" s="5"/>
      <c r="F373" s="5"/>
      <c r="G373" s="5"/>
      <c r="H373" s="5"/>
      <c r="I373" s="5"/>
      <c r="J373" s="5"/>
    </row>
    <row r="374" spans="2:10" x14ac:dyDescent="0.25">
      <c r="B374" s="5"/>
      <c r="C374" s="5"/>
      <c r="D374" s="5"/>
      <c r="E374" s="5"/>
      <c r="F374" s="5"/>
      <c r="G374" s="5"/>
      <c r="H374" s="5"/>
      <c r="I374" s="5"/>
      <c r="J374" s="5"/>
    </row>
    <row r="375" spans="2:10" x14ac:dyDescent="0.25">
      <c r="B375" s="5"/>
      <c r="C375" s="5"/>
      <c r="D375" s="5"/>
      <c r="E375" s="5"/>
      <c r="F375" s="5"/>
      <c r="G375" s="5"/>
      <c r="H375" s="5"/>
      <c r="I375" s="5"/>
      <c r="J375" s="5"/>
    </row>
    <row r="376" spans="2:10" x14ac:dyDescent="0.25">
      <c r="B376" s="5"/>
      <c r="C376" s="5"/>
      <c r="D376" s="5"/>
      <c r="E376" s="5"/>
      <c r="F376" s="5"/>
      <c r="G376" s="5"/>
      <c r="H376" s="5"/>
      <c r="I376" s="5"/>
      <c r="J376" s="5"/>
    </row>
    <row r="377" spans="2:10" x14ac:dyDescent="0.25">
      <c r="B377" s="5"/>
      <c r="C377" s="5"/>
      <c r="D377" s="5"/>
      <c r="E377" s="5"/>
      <c r="F377" s="5"/>
      <c r="G377" s="5"/>
      <c r="H377" s="5"/>
      <c r="I377" s="5"/>
      <c r="J377" s="5"/>
    </row>
    <row r="378" spans="2:10" x14ac:dyDescent="0.25">
      <c r="B378" s="5"/>
      <c r="C378" s="5"/>
      <c r="D378" s="5"/>
      <c r="E378" s="5"/>
      <c r="F378" s="5"/>
      <c r="G378" s="5"/>
      <c r="H378" s="5"/>
      <c r="I378" s="5"/>
      <c r="J378" s="5"/>
    </row>
    <row r="379" spans="2:10" x14ac:dyDescent="0.25">
      <c r="B379" s="5"/>
      <c r="C379" s="5"/>
      <c r="D379" s="5"/>
      <c r="E379" s="5"/>
      <c r="F379" s="5"/>
      <c r="G379" s="5"/>
      <c r="H379" s="5"/>
      <c r="I379" s="5"/>
      <c r="J379" s="5"/>
    </row>
    <row r="380" spans="2:10" x14ac:dyDescent="0.25">
      <c r="B380" s="5"/>
      <c r="C380" s="5"/>
      <c r="D380" s="5"/>
      <c r="E380" s="5"/>
      <c r="F380" s="5"/>
      <c r="G380" s="5"/>
      <c r="H380" s="5"/>
      <c r="I380" s="5"/>
      <c r="J380" s="5"/>
    </row>
    <row r="381" spans="2:10" x14ac:dyDescent="0.25">
      <c r="B381" s="5"/>
      <c r="C381" s="5"/>
      <c r="D381" s="5"/>
      <c r="E381" s="5"/>
      <c r="F381" s="5"/>
      <c r="G381" s="5"/>
      <c r="H381" s="5"/>
      <c r="I381" s="5"/>
      <c r="J381" s="5"/>
    </row>
    <row r="382" spans="2:10" x14ac:dyDescent="0.25">
      <c r="B382" s="5"/>
      <c r="C382" s="5"/>
      <c r="D382" s="5"/>
      <c r="E382" s="5"/>
      <c r="F382" s="5"/>
      <c r="G382" s="5"/>
      <c r="H382" s="5"/>
      <c r="I382" s="5"/>
      <c r="J382" s="5"/>
    </row>
    <row r="383" spans="2:10" x14ac:dyDescent="0.25">
      <c r="B383" s="5"/>
      <c r="C383" s="5"/>
      <c r="D383" s="5"/>
      <c r="E383" s="5"/>
      <c r="F383" s="5"/>
      <c r="G383" s="5"/>
      <c r="H383" s="5"/>
      <c r="I383" s="5"/>
      <c r="J383" s="5"/>
    </row>
    <row r="384" spans="2:10" x14ac:dyDescent="0.25">
      <c r="B384" s="5"/>
      <c r="C384" s="5"/>
      <c r="D384" s="5"/>
      <c r="E384" s="5"/>
      <c r="F384" s="5"/>
      <c r="G384" s="5"/>
      <c r="H384" s="5"/>
      <c r="I384" s="5"/>
      <c r="J384" s="5"/>
    </row>
    <row r="385" spans="2:10" x14ac:dyDescent="0.25">
      <c r="B385" s="5"/>
      <c r="C385" s="5"/>
      <c r="D385" s="5"/>
      <c r="E385" s="5"/>
      <c r="F385" s="5"/>
      <c r="G385" s="5"/>
      <c r="H385" s="5"/>
      <c r="I385" s="5"/>
      <c r="J385" s="5"/>
    </row>
    <row r="386" spans="2:10" x14ac:dyDescent="0.25">
      <c r="B386" s="5"/>
      <c r="C386" s="5"/>
      <c r="D386" s="5"/>
      <c r="E386" s="5"/>
      <c r="F386" s="5"/>
      <c r="G386" s="5"/>
      <c r="H386" s="5"/>
      <c r="I386" s="5"/>
      <c r="J386" s="5"/>
    </row>
    <row r="387" spans="2:10" x14ac:dyDescent="0.25">
      <c r="B387" s="5"/>
      <c r="C387" s="5"/>
      <c r="D387" s="5"/>
      <c r="E387" s="5"/>
      <c r="F387" s="5"/>
      <c r="G387" s="5"/>
      <c r="H387" s="5"/>
      <c r="I387" s="5"/>
      <c r="J387" s="5"/>
    </row>
    <row r="388" spans="2:10" x14ac:dyDescent="0.25">
      <c r="B388" s="5"/>
      <c r="C388" s="5"/>
      <c r="D388" s="5"/>
      <c r="E388" s="5"/>
      <c r="F388" s="5"/>
      <c r="G388" s="5"/>
      <c r="H388" s="5"/>
      <c r="I388" s="5"/>
      <c r="J388" s="5"/>
    </row>
    <row r="389" spans="2:10" x14ac:dyDescent="0.25">
      <c r="B389" s="5"/>
      <c r="C389" s="5"/>
      <c r="D389" s="5"/>
      <c r="E389" s="5"/>
      <c r="F389" s="5"/>
      <c r="G389" s="5"/>
      <c r="H389" s="5"/>
      <c r="I389" s="5"/>
      <c r="J389" s="5"/>
    </row>
    <row r="390" spans="2:10" x14ac:dyDescent="0.25">
      <c r="B390" s="5"/>
      <c r="C390" s="5"/>
      <c r="D390" s="5"/>
      <c r="E390" s="5"/>
      <c r="F390" s="5"/>
      <c r="G390" s="5"/>
      <c r="H390" s="5"/>
      <c r="I390" s="5"/>
      <c r="J390" s="5"/>
    </row>
    <row r="391" spans="2:10" x14ac:dyDescent="0.25">
      <c r="B391" s="5"/>
      <c r="C391" s="5"/>
      <c r="D391" s="5"/>
      <c r="E391" s="5"/>
      <c r="F391" s="5"/>
      <c r="G391" s="5"/>
      <c r="H391" s="5"/>
      <c r="I391" s="5"/>
      <c r="J391" s="5"/>
    </row>
    <row r="392" spans="2:10" x14ac:dyDescent="0.25">
      <c r="B392" s="5"/>
      <c r="C392" s="5"/>
      <c r="D392" s="5"/>
      <c r="E392" s="5"/>
      <c r="F392" s="5"/>
      <c r="G392" s="5"/>
      <c r="H392" s="5"/>
      <c r="I392" s="5"/>
      <c r="J392" s="5"/>
    </row>
    <row r="393" spans="2:10" x14ac:dyDescent="0.25">
      <c r="B393" s="5"/>
      <c r="C393" s="5"/>
      <c r="D393" s="5"/>
      <c r="E393" s="5"/>
      <c r="F393" s="5"/>
      <c r="G393" s="5"/>
      <c r="H393" s="5"/>
      <c r="I393" s="5"/>
      <c r="J393" s="5"/>
    </row>
    <row r="394" spans="2:10" x14ac:dyDescent="0.25">
      <c r="B394" s="5"/>
      <c r="C394" s="5"/>
      <c r="D394" s="5"/>
      <c r="E394" s="5"/>
      <c r="F394" s="5"/>
      <c r="G394" s="5"/>
      <c r="H394" s="5"/>
      <c r="I394" s="5"/>
      <c r="J394" s="5"/>
    </row>
    <row r="395" spans="2:10" x14ac:dyDescent="0.25">
      <c r="B395" s="5"/>
      <c r="C395" s="5"/>
      <c r="D395" s="5"/>
      <c r="E395" s="5"/>
      <c r="F395" s="5"/>
      <c r="G395" s="5"/>
      <c r="H395" s="5"/>
      <c r="I395" s="5"/>
      <c r="J395" s="5"/>
    </row>
    <row r="396" spans="2:10" x14ac:dyDescent="0.25">
      <c r="B396" s="5"/>
      <c r="C396" s="5"/>
      <c r="D396" s="5"/>
      <c r="E396" s="5"/>
      <c r="F396" s="5"/>
      <c r="G396" s="5"/>
      <c r="H396" s="5"/>
      <c r="I396" s="5"/>
      <c r="J396" s="5"/>
    </row>
    <row r="397" spans="2:10" x14ac:dyDescent="0.25">
      <c r="B397" s="5"/>
      <c r="C397" s="5"/>
      <c r="D397" s="5"/>
      <c r="E397" s="5"/>
      <c r="F397" s="5"/>
      <c r="G397" s="5"/>
      <c r="H397" s="5"/>
      <c r="I397" s="5"/>
      <c r="J397" s="5"/>
    </row>
    <row r="398" spans="2:10" x14ac:dyDescent="0.25">
      <c r="B398" s="5"/>
      <c r="C398" s="5"/>
      <c r="D398" s="5"/>
      <c r="E398" s="5"/>
      <c r="F398" s="5"/>
      <c r="G398" s="5"/>
      <c r="H398" s="5"/>
      <c r="I398" s="5"/>
      <c r="J398" s="5"/>
    </row>
    <row r="399" spans="2:10" x14ac:dyDescent="0.25">
      <c r="B399" s="5"/>
      <c r="C399" s="5"/>
      <c r="D399" s="5"/>
      <c r="E399" s="5"/>
      <c r="F399" s="5"/>
      <c r="G399" s="5"/>
      <c r="H399" s="5"/>
      <c r="I399" s="5"/>
      <c r="J399" s="5"/>
    </row>
    <row r="400" spans="2:10" x14ac:dyDescent="0.25">
      <c r="B400" s="5"/>
      <c r="C400" s="5"/>
      <c r="D400" s="5"/>
      <c r="E400" s="5"/>
      <c r="F400" s="5"/>
      <c r="G400" s="5"/>
      <c r="H400" s="5"/>
      <c r="I400" s="5"/>
      <c r="J400" s="5"/>
    </row>
    <row r="401" spans="2:10" x14ac:dyDescent="0.25">
      <c r="B401" s="5"/>
      <c r="C401" s="5"/>
      <c r="D401" s="5"/>
      <c r="E401" s="5"/>
      <c r="F401" s="5"/>
      <c r="G401" s="5"/>
      <c r="H401" s="5"/>
      <c r="I401" s="5"/>
      <c r="J401" s="5"/>
    </row>
    <row r="402" spans="2:10" x14ac:dyDescent="0.25">
      <c r="B402" s="5"/>
      <c r="C402" s="5"/>
      <c r="D402" s="5"/>
      <c r="E402" s="5"/>
      <c r="F402" s="5"/>
      <c r="G402" s="5"/>
      <c r="H402" s="5"/>
      <c r="I402" s="5"/>
      <c r="J402" s="5"/>
    </row>
    <row r="403" spans="2:10" x14ac:dyDescent="0.25">
      <c r="B403" s="5"/>
      <c r="C403" s="5"/>
      <c r="D403" s="5"/>
      <c r="E403" s="5"/>
      <c r="F403" s="5"/>
      <c r="G403" s="5"/>
      <c r="H403" s="5"/>
      <c r="I403" s="5"/>
      <c r="J403" s="5"/>
    </row>
    <row r="404" spans="2:10" x14ac:dyDescent="0.25">
      <c r="B404" s="5"/>
      <c r="C404" s="5"/>
      <c r="D404" s="5"/>
      <c r="E404" s="5"/>
      <c r="F404" s="5"/>
      <c r="G404" s="5"/>
      <c r="H404" s="5"/>
      <c r="I404" s="5"/>
      <c r="J404" s="5"/>
    </row>
    <row r="405" spans="2:10" x14ac:dyDescent="0.25">
      <c r="B405" s="5"/>
      <c r="C405" s="5"/>
      <c r="D405" s="5"/>
      <c r="E405" s="5"/>
      <c r="F405" s="5"/>
      <c r="G405" s="5"/>
      <c r="H405" s="5"/>
      <c r="I405" s="5"/>
      <c r="J405" s="5"/>
    </row>
    <row r="406" spans="2:10" x14ac:dyDescent="0.25">
      <c r="B406" s="5"/>
      <c r="C406" s="5"/>
      <c r="D406" s="5"/>
      <c r="E406" s="5"/>
      <c r="F406" s="5"/>
      <c r="G406" s="5"/>
      <c r="H406" s="5"/>
      <c r="I406" s="5"/>
      <c r="J406" s="5"/>
    </row>
    <row r="407" spans="2:10" x14ac:dyDescent="0.25">
      <c r="B407" s="5"/>
      <c r="C407" s="5"/>
      <c r="D407" s="5"/>
      <c r="E407" s="5"/>
      <c r="F407" s="5"/>
      <c r="G407" s="5"/>
      <c r="H407" s="5"/>
      <c r="I407" s="5"/>
      <c r="J407" s="5"/>
    </row>
    <row r="408" spans="2:10" x14ac:dyDescent="0.25">
      <c r="B408" s="5"/>
      <c r="C408" s="5"/>
      <c r="D408" s="5"/>
      <c r="E408" s="5"/>
      <c r="F408" s="5"/>
      <c r="G408" s="5"/>
      <c r="H408" s="5"/>
      <c r="I408" s="5"/>
      <c r="J408" s="5"/>
    </row>
    <row r="409" spans="2:10" x14ac:dyDescent="0.25">
      <c r="B409" s="5"/>
      <c r="C409" s="5"/>
      <c r="D409" s="5"/>
      <c r="E409" s="5"/>
      <c r="F409" s="5"/>
      <c r="G409" s="5"/>
      <c r="H409" s="5"/>
      <c r="I409" s="5"/>
      <c r="J409" s="5"/>
    </row>
    <row r="410" spans="2:10" x14ac:dyDescent="0.25">
      <c r="B410" s="5"/>
      <c r="C410" s="5"/>
      <c r="D410" s="5"/>
      <c r="E410" s="5"/>
      <c r="F410" s="5"/>
      <c r="G410" s="5"/>
      <c r="H410" s="5"/>
      <c r="I410" s="5"/>
      <c r="J410" s="5"/>
    </row>
    <row r="411" spans="2:10" x14ac:dyDescent="0.25">
      <c r="B411" s="5"/>
      <c r="C411" s="5"/>
      <c r="D411" s="5"/>
      <c r="E411" s="5"/>
      <c r="F411" s="5"/>
      <c r="G411" s="5"/>
      <c r="H411" s="5"/>
      <c r="I411" s="5"/>
      <c r="J411" s="5"/>
    </row>
    <row r="412" spans="2:10" x14ac:dyDescent="0.25">
      <c r="B412" s="5"/>
      <c r="C412" s="5"/>
      <c r="D412" s="5"/>
      <c r="E412" s="5"/>
      <c r="F412" s="5"/>
      <c r="G412" s="5"/>
      <c r="H412" s="5"/>
      <c r="I412" s="5"/>
      <c r="J412" s="5"/>
    </row>
    <row r="413" spans="2:10" x14ac:dyDescent="0.25">
      <c r="B413" s="5"/>
      <c r="C413" s="5"/>
      <c r="D413" s="5"/>
      <c r="E413" s="5"/>
      <c r="F413" s="5"/>
      <c r="G413" s="5"/>
      <c r="H413" s="5"/>
      <c r="I413" s="5"/>
      <c r="J413" s="5"/>
    </row>
    <row r="414" spans="2:10" x14ac:dyDescent="0.25">
      <c r="B414" s="5"/>
      <c r="C414" s="5"/>
      <c r="D414" s="5"/>
      <c r="E414" s="5"/>
      <c r="F414" s="5"/>
      <c r="G414" s="5"/>
      <c r="H414" s="5"/>
      <c r="I414" s="5"/>
      <c r="J414" s="5"/>
    </row>
    <row r="415" spans="2:10" x14ac:dyDescent="0.25">
      <c r="B415" s="5"/>
      <c r="C415" s="5"/>
      <c r="D415" s="5"/>
      <c r="E415" s="5"/>
      <c r="F415" s="5"/>
      <c r="G415" s="5"/>
      <c r="H415" s="5"/>
      <c r="I415" s="5"/>
      <c r="J415" s="5"/>
    </row>
    <row r="416" spans="2:10" x14ac:dyDescent="0.25">
      <c r="B416" s="5"/>
      <c r="C416" s="5"/>
      <c r="D416" s="5"/>
      <c r="E416" s="5"/>
      <c r="F416" s="5"/>
      <c r="G416" s="5"/>
      <c r="H416" s="5"/>
      <c r="I416" s="5"/>
      <c r="J416" s="5"/>
    </row>
    <row r="417" spans="2:10" x14ac:dyDescent="0.25">
      <c r="B417" s="5"/>
      <c r="C417" s="5"/>
      <c r="D417" s="5"/>
      <c r="E417" s="5"/>
      <c r="F417" s="5"/>
      <c r="G417" s="5"/>
      <c r="H417" s="5"/>
      <c r="I417" s="5"/>
      <c r="J417" s="5"/>
    </row>
    <row r="418" spans="2:10" x14ac:dyDescent="0.25">
      <c r="B418" s="5"/>
      <c r="C418" s="5"/>
      <c r="D418" s="5"/>
      <c r="E418" s="5"/>
      <c r="F418" s="5"/>
      <c r="G418" s="5"/>
      <c r="H418" s="5"/>
      <c r="I418" s="5"/>
      <c r="J418" s="5"/>
    </row>
    <row r="419" spans="2:10" x14ac:dyDescent="0.25">
      <c r="B419" s="5"/>
      <c r="C419" s="5"/>
      <c r="D419" s="5"/>
      <c r="E419" s="5"/>
      <c r="F419" s="5"/>
      <c r="G419" s="5"/>
      <c r="H419" s="5"/>
      <c r="I419" s="5"/>
      <c r="J419" s="5"/>
    </row>
    <row r="420" spans="2:10" x14ac:dyDescent="0.25">
      <c r="B420" s="5"/>
      <c r="C420" s="5"/>
      <c r="D420" s="5"/>
      <c r="E420" s="5"/>
      <c r="F420" s="5"/>
      <c r="G420" s="5"/>
      <c r="H420" s="5"/>
      <c r="I420" s="5"/>
      <c r="J420" s="5"/>
    </row>
    <row r="421" spans="2:10" x14ac:dyDescent="0.25">
      <c r="B421" s="5"/>
      <c r="C421" s="5"/>
      <c r="D421" s="5"/>
      <c r="E421" s="5"/>
      <c r="F421" s="5"/>
      <c r="G421" s="5"/>
      <c r="H421" s="5"/>
      <c r="I421" s="5"/>
      <c r="J421" s="5"/>
    </row>
    <row r="422" spans="2:10" x14ac:dyDescent="0.25">
      <c r="B422" s="5"/>
      <c r="C422" s="5"/>
      <c r="D422" s="5"/>
      <c r="E422" s="5"/>
      <c r="F422" s="5"/>
      <c r="G422" s="5"/>
      <c r="H422" s="5"/>
      <c r="I422" s="5"/>
      <c r="J422" s="5"/>
    </row>
    <row r="423" spans="2:10" x14ac:dyDescent="0.25">
      <c r="B423" s="5"/>
      <c r="C423" s="5"/>
      <c r="D423" s="5"/>
      <c r="E423" s="5"/>
      <c r="F423" s="5"/>
      <c r="G423" s="5"/>
      <c r="H423" s="5"/>
      <c r="I423" s="5"/>
      <c r="J423" s="5"/>
    </row>
    <row r="424" spans="2:10" x14ac:dyDescent="0.25">
      <c r="B424" s="5"/>
      <c r="C424" s="5"/>
      <c r="D424" s="5"/>
      <c r="E424" s="5"/>
      <c r="F424" s="5"/>
      <c r="G424" s="5"/>
      <c r="H424" s="5"/>
      <c r="I424" s="5"/>
      <c r="J424" s="5"/>
    </row>
    <row r="425" spans="2:10" x14ac:dyDescent="0.25">
      <c r="B425" s="5"/>
      <c r="C425" s="5"/>
      <c r="D425" s="5"/>
      <c r="E425" s="5"/>
      <c r="F425" s="5"/>
      <c r="G425" s="5"/>
      <c r="H425" s="5"/>
      <c r="I425" s="5"/>
      <c r="J425" s="5"/>
    </row>
    <row r="426" spans="2:10" x14ac:dyDescent="0.25">
      <c r="B426" s="5"/>
      <c r="C426" s="5"/>
      <c r="D426" s="5"/>
      <c r="E426" s="5"/>
      <c r="F426" s="5"/>
      <c r="G426" s="5"/>
      <c r="H426" s="5"/>
      <c r="I426" s="5"/>
      <c r="J426" s="5"/>
    </row>
    <row r="427" spans="2:10" x14ac:dyDescent="0.25">
      <c r="B427" s="5"/>
      <c r="C427" s="5"/>
      <c r="D427" s="5"/>
      <c r="E427" s="5"/>
      <c r="F427" s="5"/>
      <c r="G427" s="5"/>
      <c r="H427" s="5"/>
      <c r="I427" s="5"/>
      <c r="J427" s="5"/>
    </row>
    <row r="428" spans="2:10" x14ac:dyDescent="0.25">
      <c r="B428" s="5"/>
      <c r="C428" s="5"/>
      <c r="D428" s="5"/>
      <c r="E428" s="5"/>
      <c r="F428" s="5"/>
      <c r="G428" s="5"/>
      <c r="H428" s="5"/>
      <c r="I428" s="5"/>
      <c r="J428" s="5"/>
    </row>
    <row r="429" spans="2:10" x14ac:dyDescent="0.25">
      <c r="B429" s="5"/>
      <c r="C429" s="5"/>
      <c r="D429" s="5"/>
      <c r="E429" s="5"/>
      <c r="F429" s="5"/>
      <c r="G429" s="5"/>
      <c r="H429" s="5"/>
      <c r="I429" s="5"/>
      <c r="J429" s="5"/>
    </row>
    <row r="430" spans="2:10" x14ac:dyDescent="0.25">
      <c r="B430" s="5"/>
      <c r="C430" s="5"/>
      <c r="D430" s="5"/>
      <c r="E430" s="5"/>
      <c r="F430" s="5"/>
      <c r="G430" s="5"/>
      <c r="H430" s="5"/>
      <c r="I430" s="5"/>
      <c r="J430" s="5"/>
    </row>
    <row r="431" spans="2:10" x14ac:dyDescent="0.25">
      <c r="B431" s="5"/>
      <c r="C431" s="5"/>
      <c r="D431" s="5"/>
      <c r="E431" s="5"/>
      <c r="F431" s="5"/>
      <c r="G431" s="5"/>
      <c r="H431" s="5"/>
      <c r="I431" s="5"/>
      <c r="J431" s="5"/>
    </row>
    <row r="432" spans="2:10" x14ac:dyDescent="0.25">
      <c r="B432" s="5"/>
      <c r="C432" s="5"/>
      <c r="D432" s="5"/>
      <c r="E432" s="5"/>
      <c r="F432" s="5"/>
      <c r="G432" s="5"/>
      <c r="H432" s="5"/>
      <c r="I432" s="5"/>
      <c r="J432" s="5"/>
    </row>
    <row r="433" spans="2:10" x14ac:dyDescent="0.25">
      <c r="B433" s="5"/>
      <c r="C433" s="5"/>
      <c r="D433" s="5"/>
      <c r="E433" s="5"/>
      <c r="F433" s="5"/>
      <c r="G433" s="5"/>
      <c r="H433" s="5"/>
      <c r="I433" s="5"/>
      <c r="J433" s="5"/>
    </row>
    <row r="434" spans="2:10" x14ac:dyDescent="0.25">
      <c r="B434" s="5"/>
      <c r="C434" s="5"/>
      <c r="D434" s="5"/>
      <c r="E434" s="5"/>
      <c r="F434" s="5"/>
      <c r="G434" s="5"/>
      <c r="H434" s="5"/>
      <c r="I434" s="5"/>
      <c r="J434" s="5"/>
    </row>
    <row r="435" spans="2:10" x14ac:dyDescent="0.25">
      <c r="B435" s="5"/>
      <c r="C435" s="5"/>
      <c r="D435" s="5"/>
      <c r="E435" s="5"/>
      <c r="F435" s="5"/>
      <c r="G435" s="5"/>
      <c r="H435" s="5"/>
      <c r="I435" s="5"/>
      <c r="J435" s="5"/>
    </row>
    <row r="436" spans="2:10" x14ac:dyDescent="0.25">
      <c r="B436" s="5"/>
      <c r="C436" s="5"/>
      <c r="D436" s="5"/>
      <c r="E436" s="5"/>
      <c r="F436" s="5"/>
      <c r="G436" s="5"/>
      <c r="H436" s="5"/>
      <c r="I436" s="5"/>
      <c r="J436" s="5"/>
    </row>
    <row r="437" spans="2:10" x14ac:dyDescent="0.25">
      <c r="B437" s="5"/>
      <c r="C437" s="5"/>
      <c r="D437" s="5"/>
      <c r="E437" s="5"/>
      <c r="F437" s="5"/>
      <c r="G437" s="5"/>
      <c r="H437" s="5"/>
      <c r="I437" s="5"/>
      <c r="J437" s="5"/>
    </row>
    <row r="438" spans="2:10" x14ac:dyDescent="0.25">
      <c r="B438" s="5"/>
      <c r="C438" s="5"/>
      <c r="D438" s="5"/>
      <c r="E438" s="5"/>
      <c r="F438" s="5"/>
      <c r="G438" s="5"/>
      <c r="H438" s="5"/>
      <c r="I438" s="5"/>
      <c r="J438" s="5"/>
    </row>
    <row r="439" spans="2:10" x14ac:dyDescent="0.25">
      <c r="B439" s="5"/>
      <c r="C439" s="5"/>
      <c r="D439" s="5"/>
      <c r="E439" s="5"/>
      <c r="F439" s="5"/>
      <c r="G439" s="5"/>
      <c r="H439" s="5"/>
      <c r="I439" s="5"/>
      <c r="J439" s="5"/>
    </row>
    <row r="440" spans="2:10" x14ac:dyDescent="0.25">
      <c r="B440" s="5"/>
      <c r="C440" s="5"/>
      <c r="D440" s="5"/>
      <c r="E440" s="5"/>
      <c r="F440" s="5"/>
      <c r="G440" s="5"/>
      <c r="H440" s="5"/>
      <c r="I440" s="5"/>
      <c r="J440" s="5"/>
    </row>
    <row r="441" spans="2:10" x14ac:dyDescent="0.25">
      <c r="B441" s="5"/>
      <c r="C441" s="5"/>
      <c r="D441" s="5"/>
      <c r="E441" s="5"/>
      <c r="F441" s="5"/>
      <c r="G441" s="5"/>
      <c r="H441" s="5"/>
      <c r="I441" s="5"/>
      <c r="J441" s="5"/>
    </row>
    <row r="442" spans="2:10" x14ac:dyDescent="0.25">
      <c r="B442" s="5"/>
      <c r="C442" s="5"/>
      <c r="D442" s="5"/>
      <c r="E442" s="5"/>
      <c r="F442" s="5"/>
      <c r="G442" s="5"/>
      <c r="H442" s="5"/>
      <c r="I442" s="5"/>
      <c r="J442" s="5"/>
    </row>
    <row r="443" spans="2:10" x14ac:dyDescent="0.25">
      <c r="B443" s="5"/>
      <c r="C443" s="5"/>
      <c r="D443" s="5"/>
      <c r="E443" s="5"/>
      <c r="F443" s="5"/>
      <c r="G443" s="5"/>
      <c r="H443" s="5"/>
      <c r="I443" s="5"/>
      <c r="J443" s="5"/>
    </row>
    <row r="444" spans="2:10" x14ac:dyDescent="0.25">
      <c r="B444" s="5"/>
      <c r="C444" s="5"/>
      <c r="D444" s="5"/>
      <c r="E444" s="5"/>
      <c r="F444" s="5"/>
      <c r="G444" s="5"/>
      <c r="H444" s="5"/>
      <c r="I444" s="5"/>
      <c r="J444" s="5"/>
    </row>
    <row r="445" spans="2:10" x14ac:dyDescent="0.25">
      <c r="B445" s="5"/>
      <c r="C445" s="5"/>
      <c r="D445" s="5"/>
      <c r="E445" s="5"/>
      <c r="F445" s="5"/>
      <c r="G445" s="5"/>
      <c r="H445" s="5"/>
      <c r="I445" s="5"/>
      <c r="J445" s="5"/>
    </row>
    <row r="446" spans="2:10" x14ac:dyDescent="0.25">
      <c r="B446" s="5"/>
      <c r="C446" s="5"/>
      <c r="D446" s="5"/>
      <c r="E446" s="5"/>
      <c r="F446" s="5"/>
      <c r="G446" s="5"/>
      <c r="H446" s="5"/>
      <c r="I446" s="5"/>
      <c r="J446" s="5"/>
    </row>
    <row r="447" spans="2:10" x14ac:dyDescent="0.25">
      <c r="B447" s="5"/>
      <c r="C447" s="5"/>
      <c r="D447" s="5"/>
      <c r="E447" s="5"/>
      <c r="F447" s="5"/>
      <c r="G447" s="5"/>
      <c r="H447" s="5"/>
      <c r="I447" s="5"/>
      <c r="J447" s="5"/>
    </row>
    <row r="448" spans="2:10" x14ac:dyDescent="0.25">
      <c r="B448" s="5"/>
      <c r="C448" s="5"/>
      <c r="D448" s="5"/>
      <c r="E448" s="5"/>
      <c r="F448" s="5"/>
      <c r="G448" s="5"/>
      <c r="H448" s="5"/>
      <c r="I448" s="5"/>
      <c r="J448" s="5"/>
    </row>
    <row r="449" spans="2:10" x14ac:dyDescent="0.25">
      <c r="B449" s="5"/>
      <c r="C449" s="5"/>
      <c r="D449" s="5"/>
      <c r="E449" s="5"/>
      <c r="F449" s="5"/>
      <c r="G449" s="5"/>
      <c r="H449" s="5"/>
      <c r="I449" s="5"/>
      <c r="J449" s="5"/>
    </row>
    <row r="450" spans="2:10" x14ac:dyDescent="0.25">
      <c r="B450" s="5"/>
      <c r="C450" s="5"/>
      <c r="D450" s="5"/>
      <c r="E450" s="5"/>
      <c r="F450" s="5"/>
      <c r="G450" s="5"/>
      <c r="H450" s="5"/>
      <c r="I450" s="5"/>
      <c r="J450" s="5"/>
    </row>
    <row r="451" spans="2:10" x14ac:dyDescent="0.25">
      <c r="B451" s="5"/>
      <c r="C451" s="5"/>
      <c r="D451" s="5"/>
      <c r="E451" s="5"/>
      <c r="F451" s="5"/>
      <c r="G451" s="5"/>
      <c r="H451" s="5"/>
      <c r="I451" s="5"/>
      <c r="J451" s="5"/>
    </row>
    <row r="452" spans="2:10" x14ac:dyDescent="0.25">
      <c r="B452" s="5"/>
      <c r="C452" s="5"/>
      <c r="D452" s="5"/>
      <c r="E452" s="5"/>
      <c r="F452" s="5"/>
      <c r="G452" s="5"/>
      <c r="H452" s="5"/>
      <c r="I452" s="5"/>
      <c r="J452" s="5"/>
    </row>
    <row r="453" spans="2:10" x14ac:dyDescent="0.25">
      <c r="B453" s="5"/>
      <c r="C453" s="5"/>
      <c r="D453" s="5"/>
      <c r="E453" s="5"/>
      <c r="F453" s="5"/>
      <c r="G453" s="5"/>
      <c r="H453" s="5"/>
      <c r="I453" s="5"/>
      <c r="J453" s="5"/>
    </row>
    <row r="454" spans="2:10" x14ac:dyDescent="0.25">
      <c r="B454" s="5"/>
      <c r="C454" s="5"/>
      <c r="D454" s="5"/>
      <c r="E454" s="5"/>
      <c r="F454" s="5"/>
      <c r="G454" s="5"/>
      <c r="H454" s="5"/>
      <c r="I454" s="5"/>
      <c r="J454" s="5"/>
    </row>
    <row r="455" spans="2:10" x14ac:dyDescent="0.25">
      <c r="B455" s="5"/>
      <c r="C455" s="5"/>
      <c r="D455" s="5"/>
      <c r="E455" s="5"/>
      <c r="F455" s="5"/>
      <c r="G455" s="5"/>
      <c r="H455" s="5"/>
      <c r="I455" s="5"/>
      <c r="J455" s="5"/>
    </row>
    <row r="456" spans="2:10" x14ac:dyDescent="0.25">
      <c r="B456" s="5"/>
      <c r="C456" s="5"/>
      <c r="D456" s="5"/>
      <c r="E456" s="5"/>
      <c r="F456" s="5"/>
      <c r="G456" s="5"/>
      <c r="H456" s="5"/>
      <c r="I456" s="5"/>
      <c r="J456" s="5"/>
    </row>
    <row r="457" spans="2:10" x14ac:dyDescent="0.25">
      <c r="B457" s="5"/>
      <c r="C457" s="5"/>
      <c r="D457" s="5"/>
      <c r="E457" s="5"/>
      <c r="F457" s="5"/>
      <c r="G457" s="5"/>
      <c r="H457" s="5"/>
      <c r="I457" s="5"/>
      <c r="J457" s="5"/>
    </row>
    <row r="458" spans="2:10" x14ac:dyDescent="0.25">
      <c r="B458" s="5"/>
      <c r="C458" s="5"/>
      <c r="D458" s="5"/>
      <c r="E458" s="5"/>
      <c r="F458" s="5"/>
      <c r="G458" s="5"/>
      <c r="H458" s="5"/>
      <c r="I458" s="5"/>
      <c r="J458" s="5"/>
    </row>
    <row r="459" spans="2:10" x14ac:dyDescent="0.25">
      <c r="B459" s="5"/>
      <c r="C459" s="5"/>
      <c r="D459" s="5"/>
      <c r="E459" s="5"/>
      <c r="F459" s="5"/>
      <c r="G459" s="5"/>
      <c r="H459" s="5"/>
      <c r="I459" s="5"/>
      <c r="J459" s="5"/>
    </row>
    <row r="460" spans="2:10" x14ac:dyDescent="0.25">
      <c r="B460" s="5"/>
      <c r="C460" s="5"/>
      <c r="D460" s="5"/>
      <c r="E460" s="5"/>
      <c r="F460" s="5"/>
      <c r="G460" s="5"/>
      <c r="H460" s="5"/>
      <c r="I460" s="5"/>
      <c r="J460" s="5"/>
    </row>
    <row r="461" spans="2:10" x14ac:dyDescent="0.25">
      <c r="B461" s="5"/>
      <c r="C461" s="5"/>
      <c r="D461" s="5"/>
      <c r="E461" s="5"/>
      <c r="F461" s="5"/>
      <c r="G461" s="5"/>
      <c r="H461" s="5"/>
      <c r="I461" s="5"/>
      <c r="J461" s="5"/>
    </row>
    <row r="462" spans="2:10" x14ac:dyDescent="0.25">
      <c r="B462" s="5"/>
      <c r="C462" s="5"/>
      <c r="D462" s="5"/>
      <c r="E462" s="5"/>
      <c r="F462" s="5"/>
      <c r="G462" s="5"/>
      <c r="H462" s="5"/>
      <c r="I462" s="5"/>
      <c r="J462" s="5"/>
    </row>
    <row r="463" spans="2:10" x14ac:dyDescent="0.25">
      <c r="B463" s="5"/>
      <c r="C463" s="5"/>
      <c r="D463" s="5"/>
      <c r="E463" s="5"/>
      <c r="F463" s="5"/>
      <c r="G463" s="5"/>
      <c r="H463" s="5"/>
      <c r="I463" s="5"/>
      <c r="J463" s="5"/>
    </row>
    <row r="464" spans="2:10" x14ac:dyDescent="0.25">
      <c r="B464" s="5"/>
      <c r="C464" s="5"/>
      <c r="D464" s="5"/>
      <c r="E464" s="5"/>
      <c r="F464" s="5"/>
      <c r="G464" s="5"/>
      <c r="H464" s="5"/>
      <c r="I464" s="5"/>
      <c r="J464" s="5"/>
    </row>
    <row r="465" spans="2:10" x14ac:dyDescent="0.25">
      <c r="B465" s="5"/>
      <c r="C465" s="5"/>
      <c r="D465" s="5"/>
      <c r="E465" s="5"/>
      <c r="F465" s="5"/>
      <c r="G465" s="5"/>
      <c r="H465" s="5"/>
      <c r="I465" s="5"/>
      <c r="J465" s="5"/>
    </row>
    <row r="466" spans="2:10" x14ac:dyDescent="0.25">
      <c r="B466" s="5"/>
      <c r="C466" s="5"/>
      <c r="D466" s="5"/>
      <c r="E466" s="5"/>
      <c r="F466" s="5"/>
      <c r="G466" s="5"/>
      <c r="H466" s="5"/>
      <c r="I466" s="5"/>
      <c r="J466" s="5"/>
    </row>
    <row r="467" spans="2:10" x14ac:dyDescent="0.25">
      <c r="B467" s="5"/>
      <c r="C467" s="5"/>
      <c r="D467" s="5"/>
      <c r="E467" s="5"/>
      <c r="F467" s="5"/>
      <c r="G467" s="5"/>
      <c r="H467" s="5"/>
      <c r="I467" s="5"/>
      <c r="J467" s="5"/>
    </row>
    <row r="468" spans="2:10" x14ac:dyDescent="0.25">
      <c r="B468" s="5"/>
      <c r="C468" s="5"/>
      <c r="D468" s="5"/>
      <c r="E468" s="5"/>
      <c r="F468" s="5"/>
      <c r="G468" s="5"/>
      <c r="H468" s="5"/>
      <c r="I468" s="5"/>
      <c r="J468" s="5"/>
    </row>
    <row r="469" spans="2:10" x14ac:dyDescent="0.25">
      <c r="B469" s="5"/>
      <c r="C469" s="5"/>
      <c r="D469" s="5"/>
      <c r="E469" s="5"/>
      <c r="F469" s="5"/>
      <c r="G469" s="5"/>
      <c r="H469" s="5"/>
      <c r="I469" s="5"/>
      <c r="J469" s="5"/>
    </row>
    <row r="470" spans="2:10" x14ac:dyDescent="0.25">
      <c r="B470" s="5"/>
      <c r="C470" s="5"/>
      <c r="D470" s="5"/>
      <c r="E470" s="5"/>
      <c r="F470" s="5"/>
      <c r="G470" s="5"/>
      <c r="H470" s="5"/>
      <c r="I470" s="5"/>
      <c r="J470" s="5"/>
    </row>
    <row r="471" spans="2:10" x14ac:dyDescent="0.25">
      <c r="B471" s="5"/>
      <c r="C471" s="5"/>
      <c r="D471" s="5"/>
      <c r="E471" s="5"/>
      <c r="F471" s="5"/>
      <c r="G471" s="5"/>
      <c r="H471" s="5"/>
      <c r="I471" s="5"/>
      <c r="J471" s="5"/>
    </row>
    <row r="472" spans="2:10" x14ac:dyDescent="0.25">
      <c r="B472" s="5"/>
      <c r="C472" s="5"/>
      <c r="D472" s="5"/>
      <c r="E472" s="5"/>
      <c r="F472" s="5"/>
      <c r="G472" s="5"/>
      <c r="H472" s="5"/>
      <c r="I472" s="5"/>
      <c r="J472" s="5"/>
    </row>
    <row r="473" spans="2:10" x14ac:dyDescent="0.25">
      <c r="B473" s="5"/>
      <c r="C473" s="5"/>
      <c r="D473" s="5"/>
      <c r="E473" s="5"/>
      <c r="F473" s="5"/>
      <c r="G473" s="5"/>
      <c r="H473" s="5"/>
      <c r="I473" s="5"/>
      <c r="J473" s="5"/>
    </row>
    <row r="474" spans="2:10" x14ac:dyDescent="0.25">
      <c r="B474" s="5"/>
      <c r="C474" s="5"/>
      <c r="D474" s="5"/>
      <c r="E474" s="5"/>
      <c r="F474" s="5"/>
      <c r="G474" s="5"/>
      <c r="H474" s="5"/>
      <c r="I474" s="5"/>
      <c r="J474" s="5"/>
    </row>
    <row r="475" spans="2:10" x14ac:dyDescent="0.25">
      <c r="B475" s="5"/>
      <c r="C475" s="5"/>
      <c r="D475" s="5"/>
      <c r="E475" s="5"/>
      <c r="F475" s="5"/>
      <c r="G475" s="5"/>
      <c r="H475" s="5"/>
      <c r="I475" s="5"/>
      <c r="J475" s="5"/>
    </row>
    <row r="476" spans="2:10" x14ac:dyDescent="0.25">
      <c r="B476" s="5"/>
      <c r="C476" s="5"/>
      <c r="D476" s="5"/>
      <c r="E476" s="5"/>
      <c r="F476" s="5"/>
      <c r="G476" s="5"/>
      <c r="H476" s="5"/>
      <c r="I476" s="5"/>
      <c r="J476" s="5"/>
    </row>
    <row r="477" spans="2:10" x14ac:dyDescent="0.25">
      <c r="B477" s="5"/>
      <c r="C477" s="5"/>
      <c r="D477" s="5"/>
      <c r="E477" s="5"/>
      <c r="F477" s="5"/>
      <c r="G477" s="5"/>
      <c r="H477" s="5"/>
      <c r="I477" s="5"/>
      <c r="J477" s="5"/>
    </row>
    <row r="478" spans="2:10" x14ac:dyDescent="0.25">
      <c r="B478" s="5"/>
      <c r="C478" s="5"/>
      <c r="D478" s="5"/>
      <c r="E478" s="5"/>
      <c r="F478" s="5"/>
      <c r="G478" s="5"/>
      <c r="H478" s="5"/>
      <c r="I478" s="5"/>
      <c r="J478" s="5"/>
    </row>
    <row r="479" spans="2:10" x14ac:dyDescent="0.25">
      <c r="B479" s="5"/>
      <c r="C479" s="5"/>
      <c r="D479" s="5"/>
      <c r="E479" s="5"/>
      <c r="F479" s="5"/>
      <c r="G479" s="5"/>
      <c r="H479" s="5"/>
      <c r="I479" s="5"/>
      <c r="J479" s="5"/>
    </row>
    <row r="480" spans="2:10" x14ac:dyDescent="0.25">
      <c r="B480" s="5"/>
      <c r="C480" s="5"/>
      <c r="D480" s="5"/>
      <c r="E480" s="5"/>
      <c r="F480" s="5"/>
      <c r="G480" s="5"/>
      <c r="H480" s="5"/>
      <c r="I480" s="5"/>
      <c r="J480" s="5"/>
    </row>
    <row r="481" spans="2:10" x14ac:dyDescent="0.25">
      <c r="B481" s="5"/>
      <c r="C481" s="5"/>
      <c r="D481" s="5"/>
      <c r="E481" s="5"/>
      <c r="F481" s="5"/>
      <c r="G481" s="5"/>
      <c r="H481" s="5"/>
      <c r="I481" s="5"/>
      <c r="J481" s="5"/>
    </row>
    <row r="482" spans="2:10" x14ac:dyDescent="0.25">
      <c r="B482" s="5"/>
      <c r="C482" s="5"/>
      <c r="D482" s="5"/>
      <c r="E482" s="5"/>
      <c r="F482" s="5"/>
      <c r="G482" s="5"/>
      <c r="H482" s="5"/>
      <c r="I482" s="5"/>
      <c r="J482" s="5"/>
    </row>
    <row r="483" spans="2:10" x14ac:dyDescent="0.25">
      <c r="B483" s="5"/>
      <c r="C483" s="5"/>
      <c r="D483" s="5"/>
      <c r="E483" s="5"/>
      <c r="F483" s="5"/>
      <c r="G483" s="5"/>
      <c r="H483" s="5"/>
      <c r="I483" s="5"/>
      <c r="J483" s="5"/>
    </row>
    <row r="484" spans="2:10" x14ac:dyDescent="0.25">
      <c r="B484" s="5"/>
      <c r="C484" s="5"/>
      <c r="D484" s="5"/>
      <c r="E484" s="5"/>
      <c r="F484" s="5"/>
      <c r="G484" s="5"/>
      <c r="H484" s="5"/>
      <c r="I484" s="5"/>
      <c r="J484" s="5"/>
    </row>
    <row r="485" spans="2:10" x14ac:dyDescent="0.25">
      <c r="B485" s="5"/>
      <c r="C485" s="5"/>
      <c r="D485" s="5"/>
      <c r="E485" s="5"/>
      <c r="F485" s="5"/>
      <c r="G485" s="5"/>
      <c r="H485" s="5"/>
      <c r="I485" s="5"/>
      <c r="J485" s="5"/>
    </row>
    <row r="486" spans="2:10" x14ac:dyDescent="0.25">
      <c r="B486" s="5"/>
      <c r="C486" s="5"/>
      <c r="D486" s="5"/>
      <c r="E486" s="5"/>
      <c r="F486" s="5"/>
      <c r="G486" s="5"/>
      <c r="H486" s="5"/>
      <c r="I486" s="5"/>
      <c r="J486" s="5"/>
    </row>
    <row r="487" spans="2:10" x14ac:dyDescent="0.25">
      <c r="B487" s="5"/>
      <c r="C487" s="5"/>
      <c r="D487" s="5"/>
      <c r="E487" s="5"/>
      <c r="F487" s="5"/>
      <c r="G487" s="5"/>
      <c r="H487" s="5"/>
      <c r="I487" s="5"/>
      <c r="J487" s="5"/>
    </row>
    <row r="488" spans="2:10" x14ac:dyDescent="0.25">
      <c r="B488" s="5"/>
      <c r="C488" s="5"/>
      <c r="D488" s="5"/>
      <c r="E488" s="5"/>
      <c r="F488" s="5"/>
      <c r="G488" s="5"/>
      <c r="H488" s="5"/>
      <c r="I488" s="5"/>
      <c r="J488" s="5"/>
    </row>
    <row r="489" spans="2:10" x14ac:dyDescent="0.25">
      <c r="B489" s="5"/>
      <c r="C489" s="5"/>
      <c r="D489" s="5"/>
      <c r="E489" s="5"/>
      <c r="F489" s="5"/>
      <c r="G489" s="5"/>
      <c r="H489" s="5"/>
      <c r="I489" s="5"/>
      <c r="J489" s="5"/>
    </row>
    <row r="490" spans="2:10" x14ac:dyDescent="0.25">
      <c r="B490" s="5"/>
      <c r="C490" s="5"/>
      <c r="D490" s="5"/>
      <c r="E490" s="5"/>
      <c r="F490" s="5"/>
      <c r="G490" s="5"/>
      <c r="H490" s="5"/>
      <c r="I490" s="5"/>
      <c r="J490" s="5"/>
    </row>
    <row r="491" spans="2:10" x14ac:dyDescent="0.25">
      <c r="B491" s="5"/>
      <c r="C491" s="5"/>
      <c r="D491" s="5"/>
      <c r="E491" s="5"/>
      <c r="F491" s="5"/>
      <c r="G491" s="5"/>
      <c r="H491" s="5"/>
      <c r="I491" s="5"/>
      <c r="J491" s="5"/>
    </row>
    <row r="492" spans="2:10" x14ac:dyDescent="0.25">
      <c r="B492" s="5"/>
      <c r="C492" s="5"/>
      <c r="D492" s="5"/>
      <c r="E492" s="5"/>
      <c r="F492" s="5"/>
      <c r="G492" s="5"/>
      <c r="H492" s="5"/>
      <c r="I492" s="5"/>
      <c r="J492" s="5"/>
    </row>
    <row r="493" spans="2:10" x14ac:dyDescent="0.25">
      <c r="B493" s="5"/>
      <c r="C493" s="5"/>
      <c r="D493" s="5"/>
      <c r="E493" s="5"/>
      <c r="F493" s="5"/>
      <c r="G493" s="5"/>
      <c r="H493" s="5"/>
      <c r="I493" s="5"/>
      <c r="J493" s="5"/>
    </row>
    <row r="494" spans="2:10" x14ac:dyDescent="0.25">
      <c r="B494" s="5"/>
      <c r="C494" s="5"/>
      <c r="D494" s="5"/>
      <c r="E494" s="5"/>
      <c r="F494" s="5"/>
      <c r="G494" s="5"/>
      <c r="H494" s="5"/>
      <c r="I494" s="5"/>
      <c r="J494" s="5"/>
    </row>
    <row r="495" spans="2:10" x14ac:dyDescent="0.25">
      <c r="B495" s="5"/>
      <c r="C495" s="5"/>
      <c r="D495" s="5"/>
      <c r="E495" s="5"/>
      <c r="F495" s="5"/>
      <c r="G495" s="5"/>
      <c r="H495" s="5"/>
      <c r="I495" s="5"/>
      <c r="J495" s="5"/>
    </row>
    <row r="496" spans="2:10" x14ac:dyDescent="0.25">
      <c r="B496" s="5"/>
      <c r="C496" s="5"/>
      <c r="D496" s="5"/>
      <c r="E496" s="5"/>
      <c r="F496" s="5"/>
      <c r="G496" s="5"/>
      <c r="H496" s="5"/>
      <c r="I496" s="5"/>
      <c r="J496" s="5"/>
    </row>
    <row r="497" spans="2:10" x14ac:dyDescent="0.25">
      <c r="B497" s="5"/>
      <c r="C497" s="5"/>
      <c r="D497" s="5"/>
      <c r="E497" s="5"/>
      <c r="F497" s="5"/>
      <c r="G497" s="5"/>
      <c r="H497" s="5"/>
      <c r="I497" s="5"/>
      <c r="J497" s="5"/>
    </row>
    <row r="498" spans="2:10" x14ac:dyDescent="0.25">
      <c r="B498" s="5"/>
      <c r="C498" s="5"/>
      <c r="D498" s="5"/>
      <c r="E498" s="5"/>
      <c r="F498" s="5"/>
      <c r="G498" s="5"/>
      <c r="H498" s="5"/>
      <c r="I498" s="5"/>
      <c r="J498" s="5"/>
    </row>
    <row r="499" spans="2:10" x14ac:dyDescent="0.25">
      <c r="B499" s="5"/>
      <c r="C499" s="5"/>
      <c r="D499" s="5"/>
      <c r="E499" s="5"/>
      <c r="F499" s="5"/>
      <c r="G499" s="5"/>
      <c r="H499" s="5"/>
      <c r="I499" s="5"/>
      <c r="J499" s="5"/>
    </row>
    <row r="500" spans="2:10" x14ac:dyDescent="0.25">
      <c r="B500" s="5"/>
      <c r="C500" s="5"/>
      <c r="D500" s="5"/>
      <c r="E500" s="5"/>
      <c r="F500" s="5"/>
      <c r="G500" s="5"/>
      <c r="H500" s="5"/>
      <c r="I500" s="5"/>
      <c r="J500" s="5"/>
    </row>
    <row r="501" spans="2:10" x14ac:dyDescent="0.25">
      <c r="B501" s="5"/>
      <c r="C501" s="5"/>
      <c r="D501" s="5"/>
      <c r="E501" s="5"/>
      <c r="F501" s="5"/>
      <c r="G501" s="5"/>
      <c r="H501" s="5"/>
      <c r="I501" s="5"/>
      <c r="J501" s="5"/>
    </row>
    <row r="502" spans="2:10" x14ac:dyDescent="0.25">
      <c r="B502" s="5"/>
      <c r="C502" s="5"/>
      <c r="D502" s="5"/>
      <c r="E502" s="5"/>
      <c r="F502" s="5"/>
      <c r="G502" s="5"/>
      <c r="H502" s="5"/>
      <c r="I502" s="5"/>
      <c r="J502" s="5"/>
    </row>
    <row r="503" spans="2:10" x14ac:dyDescent="0.25">
      <c r="B503" s="5"/>
      <c r="C503" s="5"/>
      <c r="D503" s="5"/>
      <c r="E503" s="5"/>
      <c r="F503" s="5"/>
      <c r="G503" s="5"/>
      <c r="H503" s="5"/>
      <c r="I503" s="5"/>
      <c r="J503" s="5"/>
    </row>
    <row r="504" spans="2:10" x14ac:dyDescent="0.25">
      <c r="B504" s="5"/>
      <c r="C504" s="5"/>
      <c r="D504" s="5"/>
      <c r="E504" s="5"/>
      <c r="F504" s="5"/>
      <c r="G504" s="5"/>
      <c r="H504" s="5"/>
      <c r="I504" s="5"/>
      <c r="J504" s="5"/>
    </row>
    <row r="505" spans="2:10" x14ac:dyDescent="0.25">
      <c r="B505" s="5"/>
      <c r="C505" s="5"/>
      <c r="D505" s="5"/>
      <c r="E505" s="5"/>
      <c r="F505" s="5"/>
      <c r="G505" s="5"/>
      <c r="H505" s="5"/>
      <c r="I505" s="5"/>
      <c r="J505" s="5"/>
    </row>
    <row r="506" spans="2:10" x14ac:dyDescent="0.25">
      <c r="B506" s="5"/>
      <c r="C506" s="5"/>
      <c r="D506" s="5"/>
      <c r="E506" s="5"/>
      <c r="F506" s="5"/>
      <c r="G506" s="5"/>
      <c r="H506" s="5"/>
      <c r="I506" s="5"/>
      <c r="J506" s="5"/>
    </row>
    <row r="507" spans="2:10" x14ac:dyDescent="0.25">
      <c r="B507" s="5"/>
      <c r="C507" s="5"/>
      <c r="D507" s="5"/>
      <c r="E507" s="5"/>
      <c r="F507" s="5"/>
      <c r="G507" s="5"/>
      <c r="H507" s="5"/>
      <c r="I507" s="5"/>
      <c r="J507" s="5"/>
    </row>
    <row r="508" spans="2:10" x14ac:dyDescent="0.25">
      <c r="B508" s="5"/>
      <c r="C508" s="5"/>
      <c r="D508" s="5"/>
      <c r="E508" s="5"/>
      <c r="F508" s="5"/>
      <c r="G508" s="5"/>
      <c r="H508" s="5"/>
      <c r="I508" s="5"/>
      <c r="J508" s="5"/>
    </row>
    <row r="509" spans="2:10" x14ac:dyDescent="0.25">
      <c r="B509" s="5"/>
      <c r="C509" s="5"/>
      <c r="D509" s="5"/>
      <c r="E509" s="5"/>
      <c r="F509" s="5"/>
      <c r="G509" s="5"/>
      <c r="H509" s="5"/>
      <c r="I509" s="5"/>
      <c r="J509" s="5"/>
    </row>
    <row r="510" spans="2:10" x14ac:dyDescent="0.25">
      <c r="B510" s="5"/>
      <c r="C510" s="5"/>
      <c r="D510" s="5"/>
      <c r="E510" s="5"/>
      <c r="F510" s="5"/>
      <c r="G510" s="5"/>
      <c r="H510" s="5"/>
      <c r="I510" s="5"/>
      <c r="J510" s="5"/>
    </row>
    <row r="511" spans="2:10" x14ac:dyDescent="0.25">
      <c r="B511" s="5"/>
      <c r="C511" s="5"/>
      <c r="D511" s="5"/>
      <c r="E511" s="5"/>
      <c r="F511" s="5"/>
      <c r="G511" s="5"/>
      <c r="H511" s="5"/>
      <c r="I511" s="5"/>
      <c r="J511" s="5"/>
    </row>
    <row r="512" spans="2:10" x14ac:dyDescent="0.25">
      <c r="B512" s="5"/>
      <c r="C512" s="5"/>
      <c r="D512" s="5"/>
      <c r="E512" s="5"/>
      <c r="F512" s="5"/>
      <c r="G512" s="5"/>
      <c r="H512" s="5"/>
      <c r="I512" s="5"/>
      <c r="J512" s="5"/>
    </row>
    <row r="513" spans="2:10" x14ac:dyDescent="0.25">
      <c r="B513" s="5"/>
      <c r="C513" s="5"/>
      <c r="D513" s="5"/>
      <c r="E513" s="5"/>
      <c r="F513" s="5"/>
      <c r="G513" s="5"/>
      <c r="H513" s="5"/>
      <c r="I513" s="5"/>
      <c r="J513" s="5"/>
    </row>
    <row r="514" spans="2:10" x14ac:dyDescent="0.25">
      <c r="B514" s="5"/>
      <c r="C514" s="5"/>
      <c r="D514" s="5"/>
      <c r="E514" s="5"/>
      <c r="F514" s="5"/>
      <c r="G514" s="5"/>
      <c r="H514" s="5"/>
      <c r="I514" s="5"/>
      <c r="J514" s="5"/>
    </row>
    <row r="515" spans="2:10" x14ac:dyDescent="0.25">
      <c r="B515" s="5"/>
      <c r="C515" s="5"/>
      <c r="D515" s="5"/>
      <c r="E515" s="5"/>
      <c r="F515" s="5"/>
      <c r="G515" s="5"/>
      <c r="H515" s="5"/>
      <c r="I515" s="5"/>
      <c r="J515" s="5"/>
    </row>
    <row r="516" spans="2:10" x14ac:dyDescent="0.25">
      <c r="B516" s="5"/>
      <c r="C516" s="5"/>
      <c r="D516" s="5"/>
      <c r="E516" s="5"/>
      <c r="F516" s="5"/>
      <c r="G516" s="5"/>
      <c r="H516" s="5"/>
      <c r="I516" s="5"/>
      <c r="J516" s="5"/>
    </row>
    <row r="517" spans="2:10" x14ac:dyDescent="0.25">
      <c r="B517" s="5"/>
      <c r="C517" s="5"/>
      <c r="D517" s="5"/>
      <c r="E517" s="5"/>
      <c r="F517" s="5"/>
      <c r="G517" s="5"/>
      <c r="H517" s="5"/>
      <c r="I517" s="5"/>
      <c r="J517" s="5"/>
    </row>
    <row r="518" spans="2:10" x14ac:dyDescent="0.25">
      <c r="B518" s="5"/>
      <c r="C518" s="5"/>
      <c r="D518" s="5"/>
      <c r="E518" s="5"/>
      <c r="F518" s="5"/>
      <c r="G518" s="5"/>
      <c r="H518" s="5"/>
      <c r="I518" s="5"/>
      <c r="J518" s="5"/>
    </row>
    <row r="519" spans="2:10" x14ac:dyDescent="0.25">
      <c r="B519" s="5"/>
      <c r="C519" s="5"/>
      <c r="D519" s="5"/>
      <c r="E519" s="5"/>
      <c r="F519" s="5"/>
      <c r="G519" s="5"/>
      <c r="H519" s="5"/>
      <c r="I519" s="5"/>
      <c r="J519" s="5"/>
    </row>
    <row r="520" spans="2:10" x14ac:dyDescent="0.25">
      <c r="B520" s="5"/>
      <c r="C520" s="5"/>
      <c r="D520" s="5"/>
      <c r="E520" s="5"/>
      <c r="F520" s="5"/>
      <c r="G520" s="5"/>
      <c r="H520" s="5"/>
      <c r="I520" s="5"/>
      <c r="J520" s="5"/>
    </row>
    <row r="521" spans="2:10" x14ac:dyDescent="0.25">
      <c r="B521" s="5"/>
      <c r="C521" s="5"/>
      <c r="D521" s="5"/>
      <c r="E521" s="5"/>
      <c r="F521" s="5"/>
      <c r="G521" s="5"/>
      <c r="H521" s="5"/>
      <c r="I521" s="5"/>
      <c r="J521" s="5"/>
    </row>
    <row r="522" spans="2:10" x14ac:dyDescent="0.25">
      <c r="B522" s="5"/>
      <c r="C522" s="5"/>
      <c r="D522" s="5"/>
      <c r="E522" s="5"/>
      <c r="F522" s="5"/>
      <c r="G522" s="5"/>
      <c r="H522" s="5"/>
      <c r="I522" s="5"/>
      <c r="J522" s="5"/>
    </row>
    <row r="523" spans="2:10" x14ac:dyDescent="0.25">
      <c r="B523" s="5"/>
      <c r="C523" s="5"/>
      <c r="D523" s="5"/>
      <c r="E523" s="5"/>
      <c r="F523" s="5"/>
      <c r="G523" s="5"/>
      <c r="H523" s="5"/>
      <c r="I523" s="5"/>
      <c r="J523" s="5"/>
    </row>
    <row r="524" spans="2:10" x14ac:dyDescent="0.25">
      <c r="B524" s="5"/>
      <c r="C524" s="5"/>
      <c r="D524" s="5"/>
      <c r="E524" s="5"/>
      <c r="F524" s="5"/>
      <c r="G524" s="5"/>
      <c r="H524" s="5"/>
      <c r="I524" s="5"/>
      <c r="J524" s="5"/>
    </row>
    <row r="525" spans="2:10" x14ac:dyDescent="0.25">
      <c r="B525" s="5"/>
      <c r="C525" s="5"/>
      <c r="D525" s="5"/>
      <c r="E525" s="5"/>
      <c r="F525" s="5"/>
      <c r="G525" s="5"/>
      <c r="H525" s="5"/>
      <c r="I525" s="5"/>
      <c r="J525" s="5"/>
    </row>
    <row r="526" spans="2:10" x14ac:dyDescent="0.25">
      <c r="B526" s="5"/>
      <c r="C526" s="5"/>
      <c r="D526" s="5"/>
      <c r="E526" s="5"/>
      <c r="F526" s="5"/>
      <c r="G526" s="5"/>
      <c r="H526" s="5"/>
      <c r="I526" s="5"/>
      <c r="J526" s="5"/>
    </row>
    <row r="527" spans="2:10" x14ac:dyDescent="0.25">
      <c r="B527" s="5"/>
      <c r="C527" s="5"/>
      <c r="D527" s="5"/>
      <c r="E527" s="5"/>
      <c r="F527" s="5"/>
      <c r="G527" s="5"/>
      <c r="H527" s="5"/>
      <c r="I527" s="5"/>
      <c r="J527" s="5"/>
    </row>
    <row r="528" spans="2:10" x14ac:dyDescent="0.25">
      <c r="B528" s="5"/>
      <c r="C528" s="5"/>
      <c r="D528" s="5"/>
      <c r="E528" s="5"/>
      <c r="F528" s="5"/>
      <c r="G528" s="5"/>
      <c r="H528" s="5"/>
      <c r="I528" s="5"/>
      <c r="J528" s="5"/>
    </row>
    <row r="529" spans="2:10" x14ac:dyDescent="0.25">
      <c r="B529" s="5"/>
      <c r="C529" s="5"/>
      <c r="D529" s="5"/>
      <c r="E529" s="5"/>
      <c r="F529" s="5"/>
      <c r="G529" s="5"/>
      <c r="H529" s="5"/>
      <c r="I529" s="5"/>
      <c r="J529" s="5"/>
    </row>
    <row r="530" spans="2:10" x14ac:dyDescent="0.25">
      <c r="B530" s="5"/>
      <c r="C530" s="5"/>
      <c r="D530" s="5"/>
      <c r="E530" s="5"/>
      <c r="F530" s="5"/>
      <c r="G530" s="5"/>
      <c r="H530" s="5"/>
      <c r="I530" s="5"/>
      <c r="J530" s="5"/>
    </row>
    <row r="531" spans="2:10" x14ac:dyDescent="0.25">
      <c r="B531" s="5"/>
      <c r="C531" s="5"/>
      <c r="D531" s="5"/>
      <c r="E531" s="5"/>
      <c r="F531" s="5"/>
      <c r="G531" s="5"/>
      <c r="H531" s="5"/>
      <c r="I531" s="5"/>
      <c r="J531" s="5"/>
    </row>
    <row r="532" spans="2:10" x14ac:dyDescent="0.25">
      <c r="B532" s="5"/>
      <c r="C532" s="5"/>
      <c r="D532" s="5"/>
      <c r="E532" s="5"/>
      <c r="F532" s="5"/>
      <c r="G532" s="5"/>
      <c r="H532" s="5"/>
      <c r="I532" s="5"/>
      <c r="J532" s="5"/>
    </row>
    <row r="533" spans="2:10" x14ac:dyDescent="0.25">
      <c r="B533" s="5"/>
      <c r="C533" s="5"/>
      <c r="D533" s="5"/>
      <c r="E533" s="5"/>
      <c r="F533" s="5"/>
      <c r="G533" s="5"/>
      <c r="H533" s="5"/>
      <c r="I533" s="5"/>
      <c r="J533" s="5"/>
    </row>
    <row r="534" spans="2:10" x14ac:dyDescent="0.25">
      <c r="B534" s="5"/>
      <c r="C534" s="5"/>
      <c r="D534" s="5"/>
      <c r="E534" s="5"/>
      <c r="F534" s="5"/>
      <c r="G534" s="5"/>
      <c r="H534" s="5"/>
      <c r="I534" s="5"/>
      <c r="J534" s="5"/>
    </row>
    <row r="535" spans="2:10" x14ac:dyDescent="0.25">
      <c r="B535" s="5"/>
      <c r="C535" s="5"/>
      <c r="D535" s="5"/>
      <c r="E535" s="5"/>
      <c r="F535" s="5"/>
      <c r="G535" s="5"/>
      <c r="H535" s="5"/>
      <c r="I535" s="5"/>
      <c r="J535" s="5"/>
    </row>
    <row r="536" spans="2:10" x14ac:dyDescent="0.25">
      <c r="B536" s="5"/>
      <c r="C536" s="5"/>
      <c r="D536" s="5"/>
      <c r="E536" s="5"/>
      <c r="F536" s="5"/>
      <c r="G536" s="5"/>
      <c r="H536" s="5"/>
      <c r="I536" s="5"/>
      <c r="J536" s="5"/>
    </row>
    <row r="537" spans="2:10" x14ac:dyDescent="0.25">
      <c r="B537" s="5"/>
      <c r="C537" s="5"/>
      <c r="D537" s="5"/>
      <c r="E537" s="5"/>
      <c r="F537" s="5"/>
      <c r="G537" s="5"/>
      <c r="H537" s="5"/>
      <c r="I537" s="5"/>
      <c r="J537" s="5"/>
    </row>
    <row r="538" spans="2:10" x14ac:dyDescent="0.25">
      <c r="B538" s="5"/>
      <c r="C538" s="5"/>
      <c r="D538" s="5"/>
      <c r="E538" s="5"/>
      <c r="F538" s="5"/>
      <c r="G538" s="5"/>
      <c r="H538" s="5"/>
      <c r="I538" s="5"/>
      <c r="J538" s="5"/>
    </row>
    <row r="539" spans="2:10" x14ac:dyDescent="0.25">
      <c r="B539" s="5"/>
      <c r="C539" s="5"/>
      <c r="D539" s="5"/>
      <c r="E539" s="5"/>
      <c r="F539" s="5"/>
      <c r="G539" s="5"/>
      <c r="H539" s="5"/>
      <c r="I539" s="5"/>
      <c r="J539" s="5"/>
    </row>
    <row r="540" spans="2:10" x14ac:dyDescent="0.25">
      <c r="B540" s="5"/>
      <c r="C540" s="5"/>
      <c r="D540" s="5"/>
      <c r="E540" s="5"/>
      <c r="F540" s="5"/>
      <c r="G540" s="5"/>
      <c r="H540" s="5"/>
      <c r="I540" s="5"/>
      <c r="J540" s="5"/>
    </row>
    <row r="541" spans="2:10" x14ac:dyDescent="0.25">
      <c r="B541" s="5"/>
      <c r="C541" s="5"/>
      <c r="D541" s="5"/>
      <c r="E541" s="5"/>
      <c r="F541" s="5"/>
      <c r="G541" s="5"/>
      <c r="H541" s="5"/>
      <c r="I541" s="5"/>
      <c r="J541" s="5"/>
    </row>
    <row r="542" spans="2:10" x14ac:dyDescent="0.25">
      <c r="B542" s="5"/>
      <c r="C542" s="5"/>
      <c r="D542" s="5"/>
      <c r="E542" s="5"/>
      <c r="F542" s="5"/>
      <c r="G542" s="5"/>
      <c r="H542" s="5"/>
      <c r="I542" s="5"/>
      <c r="J542" s="5"/>
    </row>
    <row r="543" spans="2:10" x14ac:dyDescent="0.25">
      <c r="B543" s="5"/>
      <c r="C543" s="5"/>
      <c r="D543" s="5"/>
      <c r="E543" s="5"/>
      <c r="F543" s="5"/>
      <c r="G543" s="5"/>
      <c r="H543" s="5"/>
      <c r="I543" s="5"/>
      <c r="J543" s="5"/>
    </row>
    <row r="544" spans="2:10" x14ac:dyDescent="0.25">
      <c r="B544" s="5"/>
      <c r="C544" s="5"/>
      <c r="D544" s="5"/>
      <c r="E544" s="5"/>
      <c r="F544" s="5"/>
      <c r="G544" s="5"/>
      <c r="H544" s="5"/>
      <c r="I544" s="5"/>
      <c r="J544" s="5"/>
    </row>
    <row r="545" spans="2:10" x14ac:dyDescent="0.25">
      <c r="B545" s="5"/>
      <c r="C545" s="5"/>
      <c r="D545" s="5"/>
      <c r="E545" s="5"/>
      <c r="F545" s="5"/>
      <c r="G545" s="5"/>
      <c r="H545" s="5"/>
      <c r="I545" s="5"/>
      <c r="J545" s="5"/>
    </row>
    <row r="546" spans="2:10" x14ac:dyDescent="0.25">
      <c r="B546" s="5"/>
      <c r="C546" s="5"/>
      <c r="D546" s="5"/>
      <c r="E546" s="5"/>
      <c r="F546" s="5"/>
      <c r="G546" s="5"/>
      <c r="H546" s="5"/>
      <c r="I546" s="5"/>
      <c r="J546" s="5"/>
    </row>
    <row r="547" spans="2:10" x14ac:dyDescent="0.25">
      <c r="B547" s="5"/>
      <c r="C547" s="5"/>
      <c r="D547" s="5"/>
      <c r="E547" s="5"/>
      <c r="F547" s="5"/>
      <c r="G547" s="5"/>
      <c r="H547" s="5"/>
      <c r="I547" s="5"/>
      <c r="J547" s="5"/>
    </row>
    <row r="548" spans="2:10" x14ac:dyDescent="0.25">
      <c r="B548" s="5"/>
      <c r="C548" s="5"/>
      <c r="D548" s="5"/>
      <c r="E548" s="5"/>
      <c r="F548" s="5"/>
      <c r="G548" s="5"/>
      <c r="H548" s="5"/>
      <c r="I548" s="5"/>
      <c r="J548" s="5"/>
    </row>
  </sheetData>
  <conditionalFormatting sqref="B3">
    <cfRule type="duplicateValues" dxfId="37" priority="1"/>
  </conditionalFormatting>
  <hyperlinks>
    <hyperlink ref="B3" location="SUMMARY!A1" display="Bro. J.I. Adeleye" xr:uid="{B5828CED-A751-40A7-98F8-297DDE6F436E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4156-4FAA-4967-857D-F41E0AA4AFB3}">
  <dimension ref="A1:J458"/>
  <sheetViews>
    <sheetView workbookViewId="0">
      <selection activeCell="B3" sqref="B3"/>
    </sheetView>
  </sheetViews>
  <sheetFormatPr defaultRowHeight="15" x14ac:dyDescent="0.25"/>
  <cols>
    <col min="1" max="1" width="13.7109375" customWidth="1"/>
    <col min="3" max="4" width="10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52</v>
      </c>
      <c r="D3" t="s">
        <v>98</v>
      </c>
    </row>
    <row r="4" spans="1:10" x14ac:dyDescent="0.25">
      <c r="A4" s="1" t="s">
        <v>3</v>
      </c>
    </row>
    <row r="6" spans="1:10" x14ac:dyDescent="0.25">
      <c r="A6" t="s">
        <v>4</v>
      </c>
      <c r="B6" s="30" t="s">
        <v>5</v>
      </c>
      <c r="C6" s="30"/>
      <c r="D6" s="30"/>
      <c r="E6" s="30" t="s">
        <v>9</v>
      </c>
      <c r="F6" s="30"/>
      <c r="G6" s="30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17000</v>
      </c>
      <c r="E8" s="5"/>
      <c r="F8" s="5"/>
      <c r="G8" s="5"/>
      <c r="H8" s="5"/>
      <c r="I8" s="5"/>
      <c r="J8" s="5"/>
    </row>
    <row r="9" spans="1:10" x14ac:dyDescent="0.25">
      <c r="A9" s="3">
        <v>46113</v>
      </c>
      <c r="B9" s="5"/>
      <c r="C9" s="5">
        <v>50000</v>
      </c>
      <c r="D9" s="5">
        <f>+D8+C9</f>
        <v>67000</v>
      </c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  <row r="369" spans="2:10" x14ac:dyDescent="0.25">
      <c r="B369" s="5"/>
      <c r="C369" s="5"/>
      <c r="D369" s="5"/>
      <c r="E369" s="5"/>
      <c r="F369" s="5"/>
      <c r="G369" s="5"/>
      <c r="H369" s="5"/>
      <c r="I369" s="5"/>
      <c r="J369" s="5"/>
    </row>
    <row r="370" spans="2:10" x14ac:dyDescent="0.25">
      <c r="B370" s="5"/>
      <c r="C370" s="5"/>
      <c r="D370" s="5"/>
      <c r="E370" s="5"/>
      <c r="F370" s="5"/>
      <c r="G370" s="5"/>
      <c r="H370" s="5"/>
      <c r="I370" s="5"/>
      <c r="J370" s="5"/>
    </row>
    <row r="371" spans="2:10" x14ac:dyDescent="0.25">
      <c r="B371" s="5"/>
      <c r="C371" s="5"/>
      <c r="D371" s="5"/>
      <c r="E371" s="5"/>
      <c r="F371" s="5"/>
      <c r="G371" s="5"/>
      <c r="H371" s="5"/>
      <c r="I371" s="5"/>
      <c r="J371" s="5"/>
    </row>
    <row r="372" spans="2:10" x14ac:dyDescent="0.25">
      <c r="B372" s="5"/>
      <c r="C372" s="5"/>
      <c r="D372" s="5"/>
      <c r="E372" s="5"/>
      <c r="F372" s="5"/>
      <c r="G372" s="5"/>
      <c r="H372" s="5"/>
      <c r="I372" s="5"/>
      <c r="J372" s="5"/>
    </row>
    <row r="373" spans="2:10" x14ac:dyDescent="0.25">
      <c r="B373" s="5"/>
      <c r="C373" s="5"/>
      <c r="D373" s="5"/>
      <c r="E373" s="5"/>
      <c r="F373" s="5"/>
      <c r="G373" s="5"/>
      <c r="H373" s="5"/>
      <c r="I373" s="5"/>
      <c r="J373" s="5"/>
    </row>
    <row r="374" spans="2:10" x14ac:dyDescent="0.25">
      <c r="B374" s="5"/>
      <c r="C374" s="5"/>
      <c r="D374" s="5"/>
      <c r="E374" s="5"/>
      <c r="F374" s="5"/>
      <c r="G374" s="5"/>
      <c r="H374" s="5"/>
      <c r="I374" s="5"/>
      <c r="J374" s="5"/>
    </row>
    <row r="375" spans="2:10" x14ac:dyDescent="0.25">
      <c r="B375" s="5"/>
      <c r="C375" s="5"/>
      <c r="D375" s="5"/>
      <c r="E375" s="5"/>
      <c r="F375" s="5"/>
      <c r="G375" s="5"/>
      <c r="H375" s="5"/>
      <c r="I375" s="5"/>
      <c r="J375" s="5"/>
    </row>
    <row r="376" spans="2:10" x14ac:dyDescent="0.25">
      <c r="B376" s="5"/>
      <c r="C376" s="5"/>
      <c r="D376" s="5"/>
      <c r="E376" s="5"/>
      <c r="F376" s="5"/>
      <c r="G376" s="5"/>
      <c r="H376" s="5"/>
      <c r="I376" s="5"/>
      <c r="J376" s="5"/>
    </row>
    <row r="377" spans="2:10" x14ac:dyDescent="0.25">
      <c r="B377" s="5"/>
      <c r="C377" s="5"/>
      <c r="D377" s="5"/>
      <c r="E377" s="5"/>
      <c r="F377" s="5"/>
      <c r="G377" s="5"/>
      <c r="H377" s="5"/>
      <c r="I377" s="5"/>
      <c r="J377" s="5"/>
    </row>
    <row r="378" spans="2:10" x14ac:dyDescent="0.25">
      <c r="B378" s="5"/>
      <c r="C378" s="5"/>
      <c r="D378" s="5"/>
      <c r="E378" s="5"/>
      <c r="F378" s="5"/>
      <c r="G378" s="5"/>
      <c r="H378" s="5"/>
      <c r="I378" s="5"/>
      <c r="J378" s="5"/>
    </row>
    <row r="379" spans="2:10" x14ac:dyDescent="0.25">
      <c r="B379" s="5"/>
      <c r="C379" s="5"/>
      <c r="D379" s="5"/>
      <c r="E379" s="5"/>
      <c r="F379" s="5"/>
      <c r="G379" s="5"/>
      <c r="H379" s="5"/>
      <c r="I379" s="5"/>
      <c r="J379" s="5"/>
    </row>
    <row r="380" spans="2:10" x14ac:dyDescent="0.25">
      <c r="B380" s="5"/>
      <c r="C380" s="5"/>
      <c r="D380" s="5"/>
      <c r="E380" s="5"/>
      <c r="F380" s="5"/>
      <c r="G380" s="5"/>
      <c r="H380" s="5"/>
      <c r="I380" s="5"/>
      <c r="J380" s="5"/>
    </row>
    <row r="381" spans="2:10" x14ac:dyDescent="0.25">
      <c r="B381" s="5"/>
      <c r="C381" s="5"/>
      <c r="D381" s="5"/>
      <c r="E381" s="5"/>
      <c r="F381" s="5"/>
      <c r="G381" s="5"/>
      <c r="H381" s="5"/>
      <c r="I381" s="5"/>
      <c r="J381" s="5"/>
    </row>
    <row r="382" spans="2:10" x14ac:dyDescent="0.25">
      <c r="B382" s="5"/>
      <c r="C382" s="5"/>
      <c r="D382" s="5"/>
      <c r="E382" s="5"/>
      <c r="F382" s="5"/>
      <c r="G382" s="5"/>
      <c r="H382" s="5"/>
      <c r="I382" s="5"/>
      <c r="J382" s="5"/>
    </row>
    <row r="383" spans="2:10" x14ac:dyDescent="0.25">
      <c r="B383" s="5"/>
      <c r="C383" s="5"/>
      <c r="D383" s="5"/>
      <c r="E383" s="5"/>
      <c r="F383" s="5"/>
      <c r="G383" s="5"/>
      <c r="H383" s="5"/>
      <c r="I383" s="5"/>
      <c r="J383" s="5"/>
    </row>
    <row r="384" spans="2:10" x14ac:dyDescent="0.25">
      <c r="B384" s="5"/>
      <c r="C384" s="5"/>
      <c r="D384" s="5"/>
      <c r="E384" s="5"/>
      <c r="F384" s="5"/>
      <c r="G384" s="5"/>
      <c r="H384" s="5"/>
      <c r="I384" s="5"/>
      <c r="J384" s="5"/>
    </row>
    <row r="385" spans="2:10" x14ac:dyDescent="0.25">
      <c r="B385" s="5"/>
      <c r="C385" s="5"/>
      <c r="D385" s="5"/>
      <c r="E385" s="5"/>
      <c r="F385" s="5"/>
      <c r="G385" s="5"/>
      <c r="H385" s="5"/>
      <c r="I385" s="5"/>
      <c r="J385" s="5"/>
    </row>
    <row r="386" spans="2:10" x14ac:dyDescent="0.25">
      <c r="B386" s="5"/>
      <c r="C386" s="5"/>
      <c r="D386" s="5"/>
      <c r="E386" s="5"/>
      <c r="F386" s="5"/>
      <c r="G386" s="5"/>
      <c r="H386" s="5"/>
      <c r="I386" s="5"/>
      <c r="J386" s="5"/>
    </row>
    <row r="387" spans="2:10" x14ac:dyDescent="0.25">
      <c r="B387" s="5"/>
      <c r="C387" s="5"/>
      <c r="D387" s="5"/>
      <c r="E387" s="5"/>
      <c r="F387" s="5"/>
      <c r="G387" s="5"/>
      <c r="H387" s="5"/>
      <c r="I387" s="5"/>
      <c r="J387" s="5"/>
    </row>
    <row r="388" spans="2:10" x14ac:dyDescent="0.25">
      <c r="B388" s="5"/>
      <c r="C388" s="5"/>
      <c r="D388" s="5"/>
      <c r="E388" s="5"/>
      <c r="F388" s="5"/>
      <c r="G388" s="5"/>
      <c r="H388" s="5"/>
      <c r="I388" s="5"/>
      <c r="J388" s="5"/>
    </row>
    <row r="389" spans="2:10" x14ac:dyDescent="0.25">
      <c r="B389" s="5"/>
      <c r="C389" s="5"/>
      <c r="D389" s="5"/>
      <c r="E389" s="5"/>
      <c r="F389" s="5"/>
      <c r="G389" s="5"/>
      <c r="H389" s="5"/>
      <c r="I389" s="5"/>
      <c r="J389" s="5"/>
    </row>
    <row r="390" spans="2:10" x14ac:dyDescent="0.25">
      <c r="B390" s="5"/>
      <c r="C390" s="5"/>
      <c r="D390" s="5"/>
      <c r="E390" s="5"/>
      <c r="F390" s="5"/>
      <c r="G390" s="5"/>
      <c r="H390" s="5"/>
      <c r="I390" s="5"/>
      <c r="J390" s="5"/>
    </row>
    <row r="391" spans="2:10" x14ac:dyDescent="0.25">
      <c r="B391" s="5"/>
      <c r="C391" s="5"/>
      <c r="D391" s="5"/>
      <c r="E391" s="5"/>
      <c r="F391" s="5"/>
      <c r="G391" s="5"/>
      <c r="H391" s="5"/>
      <c r="I391" s="5"/>
      <c r="J391" s="5"/>
    </row>
    <row r="392" spans="2:10" x14ac:dyDescent="0.25">
      <c r="B392" s="5"/>
      <c r="C392" s="5"/>
      <c r="D392" s="5"/>
      <c r="E392" s="5"/>
      <c r="F392" s="5"/>
      <c r="G392" s="5"/>
      <c r="H392" s="5"/>
      <c r="I392" s="5"/>
      <c r="J392" s="5"/>
    </row>
    <row r="393" spans="2:10" x14ac:dyDescent="0.25">
      <c r="B393" s="5"/>
      <c r="C393" s="5"/>
      <c r="D393" s="5"/>
      <c r="E393" s="5"/>
      <c r="F393" s="5"/>
      <c r="G393" s="5"/>
      <c r="H393" s="5"/>
      <c r="I393" s="5"/>
      <c r="J393" s="5"/>
    </row>
    <row r="394" spans="2:10" x14ac:dyDescent="0.25">
      <c r="B394" s="5"/>
      <c r="C394" s="5"/>
      <c r="D394" s="5"/>
      <c r="E394" s="5"/>
      <c r="F394" s="5"/>
      <c r="G394" s="5"/>
      <c r="H394" s="5"/>
      <c r="I394" s="5"/>
      <c r="J394" s="5"/>
    </row>
    <row r="395" spans="2:10" x14ac:dyDescent="0.25">
      <c r="B395" s="5"/>
      <c r="C395" s="5"/>
      <c r="D395" s="5"/>
      <c r="E395" s="5"/>
      <c r="F395" s="5"/>
      <c r="G395" s="5"/>
      <c r="H395" s="5"/>
      <c r="I395" s="5"/>
      <c r="J395" s="5"/>
    </row>
    <row r="396" spans="2:10" x14ac:dyDescent="0.25">
      <c r="B396" s="5"/>
      <c r="C396" s="5"/>
      <c r="D396" s="5"/>
      <c r="E396" s="5"/>
      <c r="F396" s="5"/>
      <c r="G396" s="5"/>
      <c r="H396" s="5"/>
      <c r="I396" s="5"/>
      <c r="J396" s="5"/>
    </row>
    <row r="397" spans="2:10" x14ac:dyDescent="0.25">
      <c r="B397" s="5"/>
      <c r="C397" s="5"/>
      <c r="D397" s="5"/>
      <c r="E397" s="5"/>
      <c r="F397" s="5"/>
      <c r="G397" s="5"/>
      <c r="H397" s="5"/>
      <c r="I397" s="5"/>
      <c r="J397" s="5"/>
    </row>
    <row r="398" spans="2:10" x14ac:dyDescent="0.25">
      <c r="B398" s="5"/>
      <c r="C398" s="5"/>
      <c r="D398" s="5"/>
      <c r="E398" s="5"/>
      <c r="F398" s="5"/>
      <c r="G398" s="5"/>
      <c r="H398" s="5"/>
      <c r="I398" s="5"/>
      <c r="J398" s="5"/>
    </row>
    <row r="399" spans="2:10" x14ac:dyDescent="0.25">
      <c r="B399" s="5"/>
      <c r="C399" s="5"/>
      <c r="D399" s="5"/>
      <c r="E399" s="5"/>
      <c r="F399" s="5"/>
      <c r="G399" s="5"/>
      <c r="H399" s="5"/>
      <c r="I399" s="5"/>
      <c r="J399" s="5"/>
    </row>
    <row r="400" spans="2:10" x14ac:dyDescent="0.25">
      <c r="B400" s="5"/>
      <c r="C400" s="5"/>
      <c r="D400" s="5"/>
      <c r="E400" s="5"/>
      <c r="F400" s="5"/>
      <c r="G400" s="5"/>
      <c r="H400" s="5"/>
      <c r="I400" s="5"/>
      <c r="J400" s="5"/>
    </row>
    <row r="401" spans="2:10" x14ac:dyDescent="0.25">
      <c r="B401" s="5"/>
      <c r="C401" s="5"/>
      <c r="D401" s="5"/>
      <c r="E401" s="5"/>
      <c r="F401" s="5"/>
      <c r="G401" s="5"/>
      <c r="H401" s="5"/>
      <c r="I401" s="5"/>
      <c r="J401" s="5"/>
    </row>
    <row r="402" spans="2:10" x14ac:dyDescent="0.25">
      <c r="B402" s="5"/>
      <c r="C402" s="5"/>
      <c r="D402" s="5"/>
      <c r="E402" s="5"/>
      <c r="F402" s="5"/>
      <c r="G402" s="5"/>
      <c r="H402" s="5"/>
      <c r="I402" s="5"/>
      <c r="J402" s="5"/>
    </row>
    <row r="403" spans="2:10" x14ac:dyDescent="0.25">
      <c r="B403" s="5"/>
      <c r="C403" s="5"/>
      <c r="D403" s="5"/>
      <c r="E403" s="5"/>
      <c r="F403" s="5"/>
      <c r="G403" s="5"/>
      <c r="H403" s="5"/>
      <c r="I403" s="5"/>
      <c r="J403" s="5"/>
    </row>
    <row r="404" spans="2:10" x14ac:dyDescent="0.25">
      <c r="B404" s="5"/>
      <c r="C404" s="5"/>
      <c r="D404" s="5"/>
      <c r="E404" s="5"/>
      <c r="F404" s="5"/>
      <c r="G404" s="5"/>
      <c r="H404" s="5"/>
      <c r="I404" s="5"/>
      <c r="J404" s="5"/>
    </row>
    <row r="405" spans="2:10" x14ac:dyDescent="0.25">
      <c r="B405" s="5"/>
      <c r="C405" s="5"/>
      <c r="D405" s="5"/>
      <c r="E405" s="5"/>
      <c r="F405" s="5"/>
      <c r="G405" s="5"/>
      <c r="H405" s="5"/>
      <c r="I405" s="5"/>
      <c r="J405" s="5"/>
    </row>
    <row r="406" spans="2:10" x14ac:dyDescent="0.25">
      <c r="B406" s="5"/>
      <c r="C406" s="5"/>
      <c r="D406" s="5"/>
      <c r="E406" s="5"/>
      <c r="F406" s="5"/>
      <c r="G406" s="5"/>
      <c r="H406" s="5"/>
      <c r="I406" s="5"/>
      <c r="J406" s="5"/>
    </row>
    <row r="407" spans="2:10" x14ac:dyDescent="0.25">
      <c r="B407" s="5"/>
      <c r="C407" s="5"/>
      <c r="D407" s="5"/>
      <c r="E407" s="5"/>
      <c r="F407" s="5"/>
      <c r="G407" s="5"/>
      <c r="H407" s="5"/>
      <c r="I407" s="5"/>
      <c r="J407" s="5"/>
    </row>
    <row r="408" spans="2:10" x14ac:dyDescent="0.25">
      <c r="B408" s="5"/>
      <c r="C408" s="5"/>
      <c r="D408" s="5"/>
      <c r="E408" s="5"/>
      <c r="F408" s="5"/>
      <c r="G408" s="5"/>
      <c r="H408" s="5"/>
      <c r="I408" s="5"/>
      <c r="J408" s="5"/>
    </row>
    <row r="409" spans="2:10" x14ac:dyDescent="0.25">
      <c r="B409" s="5"/>
      <c r="C409" s="5"/>
      <c r="D409" s="5"/>
      <c r="E409" s="5"/>
      <c r="F409" s="5"/>
      <c r="G409" s="5"/>
      <c r="H409" s="5"/>
      <c r="I409" s="5"/>
      <c r="J409" s="5"/>
    </row>
    <row r="410" spans="2:10" x14ac:dyDescent="0.25">
      <c r="B410" s="5"/>
      <c r="C410" s="5"/>
      <c r="D410" s="5"/>
      <c r="E410" s="5"/>
      <c r="F410" s="5"/>
      <c r="G410" s="5"/>
      <c r="H410" s="5"/>
      <c r="I410" s="5"/>
      <c r="J410" s="5"/>
    </row>
    <row r="411" spans="2:10" x14ac:dyDescent="0.25">
      <c r="B411" s="5"/>
      <c r="C411" s="5"/>
      <c r="D411" s="5"/>
      <c r="E411" s="5"/>
      <c r="F411" s="5"/>
      <c r="G411" s="5"/>
      <c r="H411" s="5"/>
      <c r="I411" s="5"/>
      <c r="J411" s="5"/>
    </row>
    <row r="412" spans="2:10" x14ac:dyDescent="0.25">
      <c r="B412" s="5"/>
      <c r="C412" s="5"/>
      <c r="D412" s="5"/>
      <c r="E412" s="5"/>
      <c r="F412" s="5"/>
      <c r="G412" s="5"/>
      <c r="H412" s="5"/>
      <c r="I412" s="5"/>
      <c r="J412" s="5"/>
    </row>
    <row r="413" spans="2:10" x14ac:dyDescent="0.25">
      <c r="B413" s="5"/>
      <c r="C413" s="5"/>
      <c r="D413" s="5"/>
      <c r="E413" s="5"/>
      <c r="F413" s="5"/>
      <c r="G413" s="5"/>
      <c r="H413" s="5"/>
      <c r="I413" s="5"/>
      <c r="J413" s="5"/>
    </row>
    <row r="414" spans="2:10" x14ac:dyDescent="0.25">
      <c r="B414" s="5"/>
      <c r="C414" s="5"/>
      <c r="D414" s="5"/>
      <c r="E414" s="5"/>
      <c r="F414" s="5"/>
      <c r="G414" s="5"/>
      <c r="H414" s="5"/>
      <c r="I414" s="5"/>
      <c r="J414" s="5"/>
    </row>
    <row r="415" spans="2:10" x14ac:dyDescent="0.25">
      <c r="B415" s="5"/>
      <c r="C415" s="5"/>
      <c r="D415" s="5"/>
      <c r="E415" s="5"/>
      <c r="F415" s="5"/>
      <c r="G415" s="5"/>
      <c r="H415" s="5"/>
      <c r="I415" s="5"/>
      <c r="J415" s="5"/>
    </row>
    <row r="416" spans="2:10" x14ac:dyDescent="0.25">
      <c r="B416" s="5"/>
      <c r="C416" s="5"/>
      <c r="D416" s="5"/>
      <c r="E416" s="5"/>
      <c r="F416" s="5"/>
      <c r="G416" s="5"/>
      <c r="H416" s="5"/>
      <c r="I416" s="5"/>
      <c r="J416" s="5"/>
    </row>
    <row r="417" spans="2:10" x14ac:dyDescent="0.25">
      <c r="B417" s="5"/>
      <c r="C417" s="5"/>
      <c r="D417" s="5"/>
      <c r="E417" s="5"/>
      <c r="F417" s="5"/>
      <c r="G417" s="5"/>
      <c r="H417" s="5"/>
      <c r="I417" s="5"/>
      <c r="J417" s="5"/>
    </row>
    <row r="418" spans="2:10" x14ac:dyDescent="0.25">
      <c r="B418" s="5"/>
      <c r="C418" s="5"/>
      <c r="D418" s="5"/>
      <c r="E418" s="5"/>
      <c r="F418" s="5"/>
      <c r="G418" s="5"/>
      <c r="H418" s="5"/>
      <c r="I418" s="5"/>
      <c r="J418" s="5"/>
    </row>
    <row r="419" spans="2:10" x14ac:dyDescent="0.25">
      <c r="B419" s="5"/>
      <c r="C419" s="5"/>
      <c r="D419" s="5"/>
      <c r="E419" s="5"/>
      <c r="F419" s="5"/>
      <c r="G419" s="5"/>
      <c r="H419" s="5"/>
      <c r="I419" s="5"/>
      <c r="J419" s="5"/>
    </row>
    <row r="420" spans="2:10" x14ac:dyDescent="0.25">
      <c r="B420" s="5"/>
      <c r="C420" s="5"/>
      <c r="D420" s="5"/>
      <c r="E420" s="5"/>
      <c r="F420" s="5"/>
      <c r="G420" s="5"/>
      <c r="H420" s="5"/>
      <c r="I420" s="5"/>
      <c r="J420" s="5"/>
    </row>
    <row r="421" spans="2:10" x14ac:dyDescent="0.25">
      <c r="B421" s="5"/>
      <c r="C421" s="5"/>
      <c r="D421" s="5"/>
      <c r="E421" s="5"/>
      <c r="F421" s="5"/>
      <c r="G421" s="5"/>
      <c r="H421" s="5"/>
      <c r="I421" s="5"/>
      <c r="J421" s="5"/>
    </row>
    <row r="422" spans="2:10" x14ac:dyDescent="0.25">
      <c r="B422" s="5"/>
      <c r="C422" s="5"/>
      <c r="D422" s="5"/>
      <c r="E422" s="5"/>
      <c r="F422" s="5"/>
      <c r="G422" s="5"/>
      <c r="H422" s="5"/>
      <c r="I422" s="5"/>
      <c r="J422" s="5"/>
    </row>
    <row r="423" spans="2:10" x14ac:dyDescent="0.25">
      <c r="B423" s="5"/>
      <c r="C423" s="5"/>
      <c r="D423" s="5"/>
      <c r="E423" s="5"/>
      <c r="F423" s="5"/>
      <c r="G423" s="5"/>
      <c r="H423" s="5"/>
      <c r="I423" s="5"/>
      <c r="J423" s="5"/>
    </row>
    <row r="424" spans="2:10" x14ac:dyDescent="0.25">
      <c r="B424" s="5"/>
      <c r="C424" s="5"/>
      <c r="D424" s="5"/>
      <c r="E424" s="5"/>
      <c r="F424" s="5"/>
      <c r="G424" s="5"/>
      <c r="H424" s="5"/>
      <c r="I424" s="5"/>
      <c r="J424" s="5"/>
    </row>
    <row r="425" spans="2:10" x14ac:dyDescent="0.25">
      <c r="B425" s="5"/>
      <c r="C425" s="5"/>
      <c r="D425" s="5"/>
      <c r="E425" s="5"/>
      <c r="F425" s="5"/>
      <c r="G425" s="5"/>
      <c r="H425" s="5"/>
      <c r="I425" s="5"/>
      <c r="J425" s="5"/>
    </row>
    <row r="426" spans="2:10" x14ac:dyDescent="0.25">
      <c r="B426" s="5"/>
      <c r="C426" s="5"/>
      <c r="D426" s="5"/>
      <c r="E426" s="5"/>
      <c r="F426" s="5"/>
      <c r="G426" s="5"/>
      <c r="H426" s="5"/>
      <c r="I426" s="5"/>
      <c r="J426" s="5"/>
    </row>
    <row r="427" spans="2:10" x14ac:dyDescent="0.25">
      <c r="B427" s="5"/>
      <c r="C427" s="5"/>
      <c r="D427" s="5"/>
      <c r="E427" s="5"/>
      <c r="F427" s="5"/>
      <c r="G427" s="5"/>
      <c r="H427" s="5"/>
      <c r="I427" s="5"/>
      <c r="J427" s="5"/>
    </row>
    <row r="428" spans="2:10" x14ac:dyDescent="0.25">
      <c r="B428" s="5"/>
      <c r="C428" s="5"/>
      <c r="D428" s="5"/>
      <c r="E428" s="5"/>
      <c r="F428" s="5"/>
      <c r="G428" s="5"/>
      <c r="H428" s="5"/>
      <c r="I428" s="5"/>
      <c r="J428" s="5"/>
    </row>
    <row r="429" spans="2:10" x14ac:dyDescent="0.25">
      <c r="B429" s="5"/>
      <c r="C429" s="5"/>
      <c r="D429" s="5"/>
      <c r="E429" s="5"/>
      <c r="F429" s="5"/>
      <c r="G429" s="5"/>
      <c r="H429" s="5"/>
      <c r="I429" s="5"/>
      <c r="J429" s="5"/>
    </row>
    <row r="430" spans="2:10" x14ac:dyDescent="0.25">
      <c r="B430" s="5"/>
      <c r="C430" s="5"/>
      <c r="D430" s="5"/>
      <c r="E430" s="5"/>
      <c r="F430" s="5"/>
      <c r="G430" s="5"/>
      <c r="H430" s="5"/>
      <c r="I430" s="5"/>
      <c r="J430" s="5"/>
    </row>
    <row r="431" spans="2:10" x14ac:dyDescent="0.25">
      <c r="B431" s="5"/>
      <c r="C431" s="5"/>
      <c r="D431" s="5"/>
      <c r="E431" s="5"/>
      <c r="F431" s="5"/>
      <c r="G431" s="5"/>
      <c r="H431" s="5"/>
      <c r="I431" s="5"/>
      <c r="J431" s="5"/>
    </row>
    <row r="432" spans="2:10" x14ac:dyDescent="0.25">
      <c r="B432" s="5"/>
      <c r="C432" s="5"/>
      <c r="D432" s="5"/>
      <c r="E432" s="5"/>
      <c r="F432" s="5"/>
      <c r="G432" s="5"/>
      <c r="H432" s="5"/>
      <c r="I432" s="5"/>
      <c r="J432" s="5"/>
    </row>
    <row r="433" spans="2:10" x14ac:dyDescent="0.25">
      <c r="B433" s="5"/>
      <c r="C433" s="5"/>
      <c r="D433" s="5"/>
      <c r="E433" s="5"/>
      <c r="F433" s="5"/>
      <c r="G433" s="5"/>
      <c r="H433" s="5"/>
      <c r="I433" s="5"/>
      <c r="J433" s="5"/>
    </row>
    <row r="434" spans="2:10" x14ac:dyDescent="0.25">
      <c r="B434" s="5"/>
      <c r="C434" s="5"/>
      <c r="D434" s="5"/>
      <c r="E434" s="5"/>
      <c r="F434" s="5"/>
      <c r="G434" s="5"/>
      <c r="H434" s="5"/>
      <c r="I434" s="5"/>
      <c r="J434" s="5"/>
    </row>
    <row r="435" spans="2:10" x14ac:dyDescent="0.25">
      <c r="B435" s="5"/>
      <c r="C435" s="5"/>
      <c r="D435" s="5"/>
      <c r="E435" s="5"/>
      <c r="F435" s="5"/>
      <c r="G435" s="5"/>
      <c r="H435" s="5"/>
      <c r="I435" s="5"/>
      <c r="J435" s="5"/>
    </row>
    <row r="436" spans="2:10" x14ac:dyDescent="0.25">
      <c r="B436" s="5"/>
      <c r="C436" s="5"/>
      <c r="D436" s="5"/>
      <c r="E436" s="5"/>
      <c r="F436" s="5"/>
      <c r="G436" s="5"/>
      <c r="H436" s="5"/>
      <c r="I436" s="5"/>
      <c r="J436" s="5"/>
    </row>
    <row r="437" spans="2:10" x14ac:dyDescent="0.25">
      <c r="B437" s="5"/>
      <c r="C437" s="5"/>
      <c r="D437" s="5"/>
      <c r="E437" s="5"/>
      <c r="F437" s="5"/>
      <c r="G437" s="5"/>
      <c r="H437" s="5"/>
      <c r="I437" s="5"/>
      <c r="J437" s="5"/>
    </row>
    <row r="438" spans="2:10" x14ac:dyDescent="0.25">
      <c r="B438" s="5"/>
      <c r="C438" s="5"/>
      <c r="D438" s="5"/>
      <c r="E438" s="5"/>
      <c r="F438" s="5"/>
      <c r="G438" s="5"/>
      <c r="H438" s="5"/>
      <c r="I438" s="5"/>
      <c r="J438" s="5"/>
    </row>
    <row r="439" spans="2:10" x14ac:dyDescent="0.25">
      <c r="B439" s="5"/>
      <c r="C439" s="5"/>
      <c r="D439" s="5"/>
      <c r="E439" s="5"/>
      <c r="F439" s="5"/>
      <c r="G439" s="5"/>
      <c r="H439" s="5"/>
      <c r="I439" s="5"/>
      <c r="J439" s="5"/>
    </row>
    <row r="440" spans="2:10" x14ac:dyDescent="0.25">
      <c r="B440" s="5"/>
      <c r="C440" s="5"/>
      <c r="D440" s="5"/>
      <c r="E440" s="5"/>
      <c r="F440" s="5"/>
      <c r="G440" s="5"/>
      <c r="H440" s="5"/>
      <c r="I440" s="5"/>
      <c r="J440" s="5"/>
    </row>
    <row r="441" spans="2:10" x14ac:dyDescent="0.25">
      <c r="B441" s="5"/>
      <c r="C441" s="5"/>
      <c r="D441" s="5"/>
      <c r="E441" s="5"/>
      <c r="F441" s="5"/>
      <c r="G441" s="5"/>
      <c r="H441" s="5"/>
      <c r="I441" s="5"/>
      <c r="J441" s="5"/>
    </row>
    <row r="442" spans="2:10" x14ac:dyDescent="0.25">
      <c r="B442" s="5"/>
      <c r="C442" s="5"/>
      <c r="D442" s="5"/>
      <c r="E442" s="5"/>
      <c r="F442" s="5"/>
      <c r="G442" s="5"/>
      <c r="H442" s="5"/>
      <c r="I442" s="5"/>
      <c r="J442" s="5"/>
    </row>
    <row r="443" spans="2:10" x14ac:dyDescent="0.25">
      <c r="B443" s="5"/>
      <c r="C443" s="5"/>
      <c r="D443" s="5"/>
      <c r="E443" s="5"/>
      <c r="F443" s="5"/>
      <c r="G443" s="5"/>
      <c r="H443" s="5"/>
      <c r="I443" s="5"/>
      <c r="J443" s="5"/>
    </row>
    <row r="444" spans="2:10" x14ac:dyDescent="0.25">
      <c r="B444" s="5"/>
      <c r="C444" s="5"/>
      <c r="D444" s="5"/>
      <c r="E444" s="5"/>
      <c r="F444" s="5"/>
      <c r="G444" s="5"/>
      <c r="H444" s="5"/>
      <c r="I444" s="5"/>
      <c r="J444" s="5"/>
    </row>
    <row r="445" spans="2:10" x14ac:dyDescent="0.25">
      <c r="B445" s="5"/>
      <c r="C445" s="5"/>
      <c r="D445" s="5"/>
      <c r="E445" s="5"/>
      <c r="F445" s="5"/>
      <c r="G445" s="5"/>
      <c r="H445" s="5"/>
      <c r="I445" s="5"/>
      <c r="J445" s="5"/>
    </row>
    <row r="446" spans="2:10" x14ac:dyDescent="0.25">
      <c r="B446" s="5"/>
      <c r="C446" s="5"/>
      <c r="D446" s="5"/>
      <c r="E446" s="5"/>
      <c r="F446" s="5"/>
      <c r="G446" s="5"/>
      <c r="H446" s="5"/>
      <c r="I446" s="5"/>
      <c r="J446" s="5"/>
    </row>
    <row r="447" spans="2:10" x14ac:dyDescent="0.25">
      <c r="B447" s="5"/>
      <c r="C447" s="5"/>
      <c r="D447" s="5"/>
      <c r="E447" s="5"/>
      <c r="F447" s="5"/>
      <c r="G447" s="5"/>
      <c r="H447" s="5"/>
      <c r="I447" s="5"/>
      <c r="J447" s="5"/>
    </row>
    <row r="448" spans="2:10" x14ac:dyDescent="0.25">
      <c r="B448" s="5"/>
      <c r="C448" s="5"/>
      <c r="D448" s="5"/>
      <c r="E448" s="5"/>
      <c r="F448" s="5"/>
      <c r="G448" s="5"/>
      <c r="H448" s="5"/>
      <c r="I448" s="5"/>
      <c r="J448" s="5"/>
    </row>
    <row r="449" spans="2:10" x14ac:dyDescent="0.25">
      <c r="B449" s="5"/>
      <c r="C449" s="5"/>
      <c r="D449" s="5"/>
      <c r="E449" s="5"/>
      <c r="F449" s="5"/>
      <c r="G449" s="5"/>
      <c r="H449" s="5"/>
      <c r="I449" s="5"/>
      <c r="J449" s="5"/>
    </row>
    <row r="450" spans="2:10" x14ac:dyDescent="0.25">
      <c r="B450" s="5"/>
      <c r="C450" s="5"/>
      <c r="D450" s="5"/>
      <c r="E450" s="5"/>
      <c r="F450" s="5"/>
      <c r="G450" s="5"/>
      <c r="H450" s="5"/>
      <c r="I450" s="5"/>
      <c r="J450" s="5"/>
    </row>
    <row r="451" spans="2:10" x14ac:dyDescent="0.25">
      <c r="B451" s="5"/>
      <c r="C451" s="5"/>
      <c r="D451" s="5"/>
      <c r="E451" s="5"/>
      <c r="F451" s="5"/>
      <c r="G451" s="5"/>
      <c r="H451" s="5"/>
      <c r="I451" s="5"/>
      <c r="J451" s="5"/>
    </row>
    <row r="452" spans="2:10" x14ac:dyDescent="0.25">
      <c r="B452" s="5"/>
      <c r="C452" s="5"/>
      <c r="D452" s="5"/>
      <c r="E452" s="5"/>
      <c r="F452" s="5"/>
      <c r="G452" s="5"/>
      <c r="H452" s="5"/>
      <c r="I452" s="5"/>
      <c r="J452" s="5"/>
    </row>
    <row r="453" spans="2:10" x14ac:dyDescent="0.25">
      <c r="B453" s="5"/>
      <c r="C453" s="5"/>
      <c r="D453" s="5"/>
      <c r="E453" s="5"/>
      <c r="F453" s="5"/>
      <c r="G453" s="5"/>
      <c r="H453" s="5"/>
      <c r="I453" s="5"/>
      <c r="J453" s="5"/>
    </row>
    <row r="454" spans="2:10" x14ac:dyDescent="0.25">
      <c r="B454" s="5"/>
      <c r="C454" s="5"/>
      <c r="D454" s="5"/>
      <c r="E454" s="5"/>
      <c r="F454" s="5"/>
      <c r="G454" s="5"/>
      <c r="H454" s="5"/>
      <c r="I454" s="5"/>
      <c r="J454" s="5"/>
    </row>
    <row r="455" spans="2:10" x14ac:dyDescent="0.25">
      <c r="B455" s="5"/>
      <c r="C455" s="5"/>
      <c r="D455" s="5"/>
      <c r="E455" s="5"/>
      <c r="F455" s="5"/>
      <c r="G455" s="5"/>
      <c r="H455" s="5"/>
      <c r="I455" s="5"/>
      <c r="J455" s="5"/>
    </row>
    <row r="456" spans="2:10" x14ac:dyDescent="0.25">
      <c r="B456" s="5"/>
      <c r="C456" s="5"/>
      <c r="D456" s="5"/>
      <c r="E456" s="5"/>
      <c r="F456" s="5"/>
      <c r="G456" s="5"/>
      <c r="H456" s="5"/>
      <c r="I456" s="5"/>
      <c r="J456" s="5"/>
    </row>
    <row r="457" spans="2:10" x14ac:dyDescent="0.25">
      <c r="B457" s="5"/>
      <c r="C457" s="5"/>
      <c r="D457" s="5"/>
      <c r="E457" s="5"/>
      <c r="F457" s="5"/>
      <c r="G457" s="5"/>
      <c r="H457" s="5"/>
      <c r="I457" s="5"/>
      <c r="J457" s="5"/>
    </row>
    <row r="458" spans="2:10" x14ac:dyDescent="0.25">
      <c r="B458" s="5"/>
      <c r="C458" s="5"/>
      <c r="D458" s="5"/>
      <c r="E458" s="5"/>
      <c r="F458" s="5"/>
      <c r="G458" s="5"/>
      <c r="H458" s="5"/>
      <c r="I458" s="5"/>
      <c r="J458" s="5"/>
    </row>
  </sheetData>
  <mergeCells count="2">
    <mergeCell ref="B6:D6"/>
    <mergeCell ref="E6:G6"/>
  </mergeCells>
  <conditionalFormatting sqref="B3">
    <cfRule type="duplicateValues" dxfId="36" priority="1"/>
  </conditionalFormatting>
  <hyperlinks>
    <hyperlink ref="B3" location="SUMMARY!A1" display="Bro David David Ukoidem" xr:uid="{83F2B1BC-8FB2-413C-BFAE-5C011F97DA0B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A3D7-73FA-493C-958C-1B78B5E56BD2}">
  <dimension ref="A1:J588"/>
  <sheetViews>
    <sheetView workbookViewId="0">
      <selection activeCell="B3" sqref="B3"/>
    </sheetView>
  </sheetViews>
  <sheetFormatPr defaultRowHeight="15" x14ac:dyDescent="0.25"/>
  <cols>
    <col min="1" max="1" width="11.5703125" customWidth="1"/>
    <col min="3" max="3" width="9.5703125" bestFit="1" customWidth="1"/>
    <col min="4" max="4" width="11.28515625" bestFit="1" customWidth="1"/>
    <col min="6" max="7" width="11.285156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103</v>
      </c>
      <c r="C3" s="5"/>
      <c r="D3" t="s">
        <v>99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/>
      <c r="E8" s="5"/>
      <c r="F8" s="5">
        <v>-19809.13</v>
      </c>
      <c r="G8" s="5">
        <f>+F8</f>
        <v>-19809.13</v>
      </c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  <row r="369" spans="2:10" x14ac:dyDescent="0.25">
      <c r="B369" s="5"/>
      <c r="C369" s="5"/>
      <c r="D369" s="5"/>
      <c r="E369" s="5"/>
      <c r="F369" s="5"/>
      <c r="G369" s="5"/>
      <c r="H369" s="5"/>
      <c r="I369" s="5"/>
      <c r="J369" s="5"/>
    </row>
    <row r="370" spans="2:10" x14ac:dyDescent="0.25">
      <c r="B370" s="5"/>
      <c r="C370" s="5"/>
      <c r="D370" s="5"/>
      <c r="E370" s="5"/>
      <c r="F370" s="5"/>
      <c r="G370" s="5"/>
      <c r="H370" s="5"/>
      <c r="I370" s="5"/>
      <c r="J370" s="5"/>
    </row>
    <row r="371" spans="2:10" x14ac:dyDescent="0.25">
      <c r="B371" s="5"/>
      <c r="C371" s="5"/>
      <c r="D371" s="5"/>
      <c r="E371" s="5"/>
      <c r="F371" s="5"/>
      <c r="G371" s="5"/>
      <c r="H371" s="5"/>
      <c r="I371" s="5"/>
      <c r="J371" s="5"/>
    </row>
    <row r="372" spans="2:10" x14ac:dyDescent="0.25">
      <c r="B372" s="5"/>
      <c r="C372" s="5"/>
      <c r="D372" s="5"/>
      <c r="E372" s="5"/>
      <c r="F372" s="5"/>
      <c r="G372" s="5"/>
      <c r="H372" s="5"/>
      <c r="I372" s="5"/>
      <c r="J372" s="5"/>
    </row>
    <row r="373" spans="2:10" x14ac:dyDescent="0.25">
      <c r="B373" s="5"/>
      <c r="C373" s="5"/>
      <c r="D373" s="5"/>
      <c r="E373" s="5"/>
      <c r="F373" s="5"/>
      <c r="G373" s="5"/>
      <c r="H373" s="5"/>
      <c r="I373" s="5"/>
      <c r="J373" s="5"/>
    </row>
    <row r="374" spans="2:10" x14ac:dyDescent="0.25">
      <c r="B374" s="5"/>
      <c r="C374" s="5"/>
      <c r="D374" s="5"/>
      <c r="E374" s="5"/>
      <c r="F374" s="5"/>
      <c r="G374" s="5"/>
      <c r="H374" s="5"/>
      <c r="I374" s="5"/>
      <c r="J374" s="5"/>
    </row>
    <row r="375" spans="2:10" x14ac:dyDescent="0.25">
      <c r="B375" s="5"/>
      <c r="C375" s="5"/>
      <c r="D375" s="5"/>
      <c r="E375" s="5"/>
      <c r="F375" s="5"/>
      <c r="G375" s="5"/>
      <c r="H375" s="5"/>
      <c r="I375" s="5"/>
      <c r="J375" s="5"/>
    </row>
    <row r="376" spans="2:10" x14ac:dyDescent="0.25">
      <c r="B376" s="5"/>
      <c r="C376" s="5"/>
      <c r="D376" s="5"/>
      <c r="E376" s="5"/>
      <c r="F376" s="5"/>
      <c r="G376" s="5"/>
      <c r="H376" s="5"/>
      <c r="I376" s="5"/>
      <c r="J376" s="5"/>
    </row>
    <row r="377" spans="2:10" x14ac:dyDescent="0.25">
      <c r="B377" s="5"/>
      <c r="C377" s="5"/>
      <c r="D377" s="5"/>
      <c r="E377" s="5"/>
      <c r="F377" s="5"/>
      <c r="G377" s="5"/>
      <c r="H377" s="5"/>
      <c r="I377" s="5"/>
      <c r="J377" s="5"/>
    </row>
    <row r="378" spans="2:10" x14ac:dyDescent="0.25">
      <c r="B378" s="5"/>
      <c r="C378" s="5"/>
      <c r="D378" s="5"/>
      <c r="E378" s="5"/>
      <c r="F378" s="5"/>
      <c r="G378" s="5"/>
      <c r="H378" s="5"/>
      <c r="I378" s="5"/>
      <c r="J378" s="5"/>
    </row>
    <row r="379" spans="2:10" x14ac:dyDescent="0.25">
      <c r="B379" s="5"/>
      <c r="C379" s="5"/>
      <c r="D379" s="5"/>
      <c r="E379" s="5"/>
      <c r="F379" s="5"/>
      <c r="G379" s="5"/>
      <c r="H379" s="5"/>
      <c r="I379" s="5"/>
      <c r="J379" s="5"/>
    </row>
    <row r="380" spans="2:10" x14ac:dyDescent="0.25">
      <c r="B380" s="5"/>
      <c r="C380" s="5"/>
      <c r="D380" s="5"/>
      <c r="E380" s="5"/>
      <c r="F380" s="5"/>
      <c r="G380" s="5"/>
      <c r="H380" s="5"/>
      <c r="I380" s="5"/>
      <c r="J380" s="5"/>
    </row>
    <row r="381" spans="2:10" x14ac:dyDescent="0.25">
      <c r="B381" s="5"/>
      <c r="C381" s="5"/>
      <c r="D381" s="5"/>
      <c r="E381" s="5"/>
      <c r="F381" s="5"/>
      <c r="G381" s="5"/>
      <c r="H381" s="5"/>
      <c r="I381" s="5"/>
      <c r="J381" s="5"/>
    </row>
    <row r="382" spans="2:10" x14ac:dyDescent="0.25">
      <c r="B382" s="5"/>
      <c r="C382" s="5"/>
      <c r="D382" s="5"/>
      <c r="E382" s="5"/>
      <c r="F382" s="5"/>
      <c r="G382" s="5"/>
      <c r="H382" s="5"/>
      <c r="I382" s="5"/>
      <c r="J382" s="5"/>
    </row>
    <row r="383" spans="2:10" x14ac:dyDescent="0.25">
      <c r="B383" s="5"/>
      <c r="C383" s="5"/>
      <c r="D383" s="5"/>
      <c r="E383" s="5"/>
      <c r="F383" s="5"/>
      <c r="G383" s="5"/>
      <c r="H383" s="5"/>
      <c r="I383" s="5"/>
      <c r="J383" s="5"/>
    </row>
    <row r="384" spans="2:10" x14ac:dyDescent="0.25">
      <c r="B384" s="5"/>
      <c r="C384" s="5"/>
      <c r="D384" s="5"/>
      <c r="E384" s="5"/>
      <c r="F384" s="5"/>
      <c r="G384" s="5"/>
      <c r="H384" s="5"/>
      <c r="I384" s="5"/>
      <c r="J384" s="5"/>
    </row>
    <row r="385" spans="2:10" x14ac:dyDescent="0.25">
      <c r="B385" s="5"/>
      <c r="C385" s="5"/>
      <c r="D385" s="5"/>
      <c r="E385" s="5"/>
      <c r="F385" s="5"/>
      <c r="G385" s="5"/>
      <c r="H385" s="5"/>
      <c r="I385" s="5"/>
      <c r="J385" s="5"/>
    </row>
    <row r="386" spans="2:10" x14ac:dyDescent="0.25">
      <c r="B386" s="5"/>
      <c r="C386" s="5"/>
      <c r="D386" s="5"/>
      <c r="E386" s="5"/>
      <c r="F386" s="5"/>
      <c r="G386" s="5"/>
      <c r="H386" s="5"/>
      <c r="I386" s="5"/>
      <c r="J386" s="5"/>
    </row>
    <row r="387" spans="2:10" x14ac:dyDescent="0.25">
      <c r="B387" s="5"/>
      <c r="C387" s="5"/>
      <c r="D387" s="5"/>
      <c r="E387" s="5"/>
      <c r="F387" s="5"/>
      <c r="G387" s="5"/>
      <c r="H387" s="5"/>
      <c r="I387" s="5"/>
      <c r="J387" s="5"/>
    </row>
    <row r="388" spans="2:10" x14ac:dyDescent="0.25">
      <c r="B388" s="5"/>
      <c r="C388" s="5"/>
      <c r="D388" s="5"/>
      <c r="E388" s="5"/>
      <c r="F388" s="5"/>
      <c r="G388" s="5"/>
      <c r="H388" s="5"/>
      <c r="I388" s="5"/>
      <c r="J388" s="5"/>
    </row>
    <row r="389" spans="2:10" x14ac:dyDescent="0.25">
      <c r="B389" s="5"/>
      <c r="C389" s="5"/>
      <c r="D389" s="5"/>
      <c r="E389" s="5"/>
      <c r="F389" s="5"/>
      <c r="G389" s="5"/>
      <c r="H389" s="5"/>
      <c r="I389" s="5"/>
      <c r="J389" s="5"/>
    </row>
    <row r="390" spans="2:10" x14ac:dyDescent="0.25">
      <c r="B390" s="5"/>
      <c r="C390" s="5"/>
      <c r="D390" s="5"/>
      <c r="E390" s="5"/>
      <c r="F390" s="5"/>
      <c r="G390" s="5"/>
      <c r="H390" s="5"/>
      <c r="I390" s="5"/>
      <c r="J390" s="5"/>
    </row>
    <row r="391" spans="2:10" x14ac:dyDescent="0.25">
      <c r="B391" s="5"/>
      <c r="C391" s="5"/>
      <c r="D391" s="5"/>
      <c r="E391" s="5"/>
      <c r="F391" s="5"/>
      <c r="G391" s="5"/>
      <c r="H391" s="5"/>
      <c r="I391" s="5"/>
      <c r="J391" s="5"/>
    </row>
    <row r="392" spans="2:10" x14ac:dyDescent="0.25">
      <c r="B392" s="5"/>
      <c r="C392" s="5"/>
      <c r="D392" s="5"/>
      <c r="E392" s="5"/>
      <c r="F392" s="5"/>
      <c r="G392" s="5"/>
      <c r="H392" s="5"/>
      <c r="I392" s="5"/>
      <c r="J392" s="5"/>
    </row>
    <row r="393" spans="2:10" x14ac:dyDescent="0.25">
      <c r="B393" s="5"/>
      <c r="C393" s="5"/>
      <c r="D393" s="5"/>
      <c r="E393" s="5"/>
      <c r="F393" s="5"/>
      <c r="G393" s="5"/>
      <c r="H393" s="5"/>
      <c r="I393" s="5"/>
      <c r="J393" s="5"/>
    </row>
    <row r="394" spans="2:10" x14ac:dyDescent="0.25">
      <c r="B394" s="5"/>
      <c r="C394" s="5"/>
      <c r="D394" s="5"/>
      <c r="E394" s="5"/>
      <c r="F394" s="5"/>
      <c r="G394" s="5"/>
      <c r="H394" s="5"/>
      <c r="I394" s="5"/>
      <c r="J394" s="5"/>
    </row>
    <row r="395" spans="2:10" x14ac:dyDescent="0.25">
      <c r="B395" s="5"/>
      <c r="C395" s="5"/>
      <c r="D395" s="5"/>
      <c r="E395" s="5"/>
      <c r="F395" s="5"/>
      <c r="G395" s="5"/>
      <c r="H395" s="5"/>
      <c r="I395" s="5"/>
      <c r="J395" s="5"/>
    </row>
    <row r="396" spans="2:10" x14ac:dyDescent="0.25">
      <c r="B396" s="5"/>
      <c r="C396" s="5"/>
      <c r="D396" s="5"/>
      <c r="E396" s="5"/>
      <c r="F396" s="5"/>
      <c r="G396" s="5"/>
      <c r="H396" s="5"/>
      <c r="I396" s="5"/>
      <c r="J396" s="5"/>
    </row>
    <row r="397" spans="2:10" x14ac:dyDescent="0.25">
      <c r="B397" s="5"/>
      <c r="C397" s="5"/>
      <c r="D397" s="5"/>
      <c r="E397" s="5"/>
      <c r="F397" s="5"/>
      <c r="G397" s="5"/>
      <c r="H397" s="5"/>
      <c r="I397" s="5"/>
      <c r="J397" s="5"/>
    </row>
    <row r="398" spans="2:10" x14ac:dyDescent="0.25">
      <c r="B398" s="5"/>
      <c r="C398" s="5"/>
      <c r="D398" s="5"/>
      <c r="E398" s="5"/>
      <c r="F398" s="5"/>
      <c r="G398" s="5"/>
      <c r="H398" s="5"/>
      <c r="I398" s="5"/>
      <c r="J398" s="5"/>
    </row>
    <row r="399" spans="2:10" x14ac:dyDescent="0.25">
      <c r="B399" s="5"/>
      <c r="C399" s="5"/>
      <c r="D399" s="5"/>
      <c r="E399" s="5"/>
      <c r="F399" s="5"/>
      <c r="G399" s="5"/>
      <c r="H399" s="5"/>
      <c r="I399" s="5"/>
      <c r="J399" s="5"/>
    </row>
    <row r="400" spans="2:10" x14ac:dyDescent="0.25">
      <c r="B400" s="5"/>
      <c r="C400" s="5"/>
      <c r="D400" s="5"/>
      <c r="E400" s="5"/>
      <c r="F400" s="5"/>
      <c r="G400" s="5"/>
      <c r="H400" s="5"/>
      <c r="I400" s="5"/>
      <c r="J400" s="5"/>
    </row>
    <row r="401" spans="2:10" x14ac:dyDescent="0.25">
      <c r="B401" s="5"/>
      <c r="C401" s="5"/>
      <c r="D401" s="5"/>
      <c r="E401" s="5"/>
      <c r="F401" s="5"/>
      <c r="G401" s="5"/>
      <c r="H401" s="5"/>
      <c r="I401" s="5"/>
      <c r="J401" s="5"/>
    </row>
    <row r="402" spans="2:10" x14ac:dyDescent="0.25">
      <c r="B402" s="5"/>
      <c r="C402" s="5"/>
      <c r="D402" s="5"/>
      <c r="E402" s="5"/>
      <c r="F402" s="5"/>
      <c r="G402" s="5"/>
      <c r="H402" s="5"/>
      <c r="I402" s="5"/>
      <c r="J402" s="5"/>
    </row>
    <row r="403" spans="2:10" x14ac:dyDescent="0.25">
      <c r="B403" s="5"/>
      <c r="C403" s="5"/>
      <c r="D403" s="5"/>
      <c r="E403" s="5"/>
      <c r="F403" s="5"/>
      <c r="G403" s="5"/>
      <c r="H403" s="5"/>
      <c r="I403" s="5"/>
      <c r="J403" s="5"/>
    </row>
    <row r="404" spans="2:10" x14ac:dyDescent="0.25">
      <c r="B404" s="5"/>
      <c r="C404" s="5"/>
      <c r="D404" s="5"/>
      <c r="E404" s="5"/>
      <c r="F404" s="5"/>
      <c r="G404" s="5"/>
      <c r="H404" s="5"/>
      <c r="I404" s="5"/>
      <c r="J404" s="5"/>
    </row>
    <row r="405" spans="2:10" x14ac:dyDescent="0.25">
      <c r="B405" s="5"/>
      <c r="C405" s="5"/>
      <c r="D405" s="5"/>
      <c r="E405" s="5"/>
      <c r="F405" s="5"/>
      <c r="G405" s="5"/>
      <c r="H405" s="5"/>
      <c r="I405" s="5"/>
      <c r="J405" s="5"/>
    </row>
    <row r="406" spans="2:10" x14ac:dyDescent="0.25">
      <c r="B406" s="5"/>
      <c r="C406" s="5"/>
      <c r="D406" s="5"/>
      <c r="E406" s="5"/>
      <c r="F406" s="5"/>
      <c r="G406" s="5"/>
      <c r="H406" s="5"/>
      <c r="I406" s="5"/>
      <c r="J406" s="5"/>
    </row>
    <row r="407" spans="2:10" x14ac:dyDescent="0.25">
      <c r="B407" s="5"/>
      <c r="C407" s="5"/>
      <c r="D407" s="5"/>
      <c r="E407" s="5"/>
      <c r="F407" s="5"/>
      <c r="G407" s="5"/>
      <c r="H407" s="5"/>
      <c r="I407" s="5"/>
      <c r="J407" s="5"/>
    </row>
    <row r="408" spans="2:10" x14ac:dyDescent="0.25">
      <c r="B408" s="5"/>
      <c r="C408" s="5"/>
      <c r="D408" s="5"/>
      <c r="E408" s="5"/>
      <c r="F408" s="5"/>
      <c r="G408" s="5"/>
      <c r="H408" s="5"/>
      <c r="I408" s="5"/>
      <c r="J408" s="5"/>
    </row>
    <row r="409" spans="2:10" x14ac:dyDescent="0.25">
      <c r="B409" s="5"/>
      <c r="C409" s="5"/>
      <c r="D409" s="5"/>
      <c r="E409" s="5"/>
      <c r="F409" s="5"/>
      <c r="G409" s="5"/>
      <c r="H409" s="5"/>
      <c r="I409" s="5"/>
      <c r="J409" s="5"/>
    </row>
    <row r="410" spans="2:10" x14ac:dyDescent="0.25">
      <c r="B410" s="5"/>
      <c r="C410" s="5"/>
      <c r="D410" s="5"/>
      <c r="E410" s="5"/>
      <c r="F410" s="5"/>
      <c r="G410" s="5"/>
      <c r="H410" s="5"/>
      <c r="I410" s="5"/>
      <c r="J410" s="5"/>
    </row>
    <row r="411" spans="2:10" x14ac:dyDescent="0.25">
      <c r="B411" s="5"/>
      <c r="C411" s="5"/>
      <c r="D411" s="5"/>
      <c r="E411" s="5"/>
      <c r="F411" s="5"/>
      <c r="G411" s="5"/>
      <c r="H411" s="5"/>
      <c r="I411" s="5"/>
      <c r="J411" s="5"/>
    </row>
    <row r="412" spans="2:10" x14ac:dyDescent="0.25">
      <c r="B412" s="5"/>
      <c r="C412" s="5"/>
      <c r="D412" s="5"/>
      <c r="E412" s="5"/>
      <c r="F412" s="5"/>
      <c r="G412" s="5"/>
      <c r="H412" s="5"/>
      <c r="I412" s="5"/>
      <c r="J412" s="5"/>
    </row>
    <row r="413" spans="2:10" x14ac:dyDescent="0.25">
      <c r="B413" s="5"/>
      <c r="C413" s="5"/>
      <c r="D413" s="5"/>
      <c r="E413" s="5"/>
      <c r="F413" s="5"/>
      <c r="G413" s="5"/>
      <c r="H413" s="5"/>
      <c r="I413" s="5"/>
      <c r="J413" s="5"/>
    </row>
    <row r="414" spans="2:10" x14ac:dyDescent="0.25">
      <c r="B414" s="5"/>
      <c r="C414" s="5"/>
      <c r="D414" s="5"/>
      <c r="E414" s="5"/>
      <c r="F414" s="5"/>
      <c r="G414" s="5"/>
      <c r="H414" s="5"/>
      <c r="I414" s="5"/>
      <c r="J414" s="5"/>
    </row>
    <row r="415" spans="2:10" x14ac:dyDescent="0.25">
      <c r="B415" s="5"/>
      <c r="C415" s="5"/>
      <c r="D415" s="5"/>
      <c r="E415" s="5"/>
      <c r="F415" s="5"/>
      <c r="G415" s="5"/>
      <c r="H415" s="5"/>
      <c r="I415" s="5"/>
      <c r="J415" s="5"/>
    </row>
    <row r="416" spans="2:10" x14ac:dyDescent="0.25">
      <c r="B416" s="5"/>
      <c r="C416" s="5"/>
      <c r="D416" s="5"/>
      <c r="E416" s="5"/>
      <c r="F416" s="5"/>
      <c r="G416" s="5"/>
      <c r="H416" s="5"/>
      <c r="I416" s="5"/>
      <c r="J416" s="5"/>
    </row>
    <row r="417" spans="2:10" x14ac:dyDescent="0.25">
      <c r="B417" s="5"/>
      <c r="C417" s="5"/>
      <c r="D417" s="5"/>
      <c r="E417" s="5"/>
      <c r="F417" s="5"/>
      <c r="G417" s="5"/>
      <c r="H417" s="5"/>
      <c r="I417" s="5"/>
      <c r="J417" s="5"/>
    </row>
    <row r="418" spans="2:10" x14ac:dyDescent="0.25">
      <c r="B418" s="5"/>
      <c r="C418" s="5"/>
      <c r="D418" s="5"/>
      <c r="E418" s="5"/>
      <c r="F418" s="5"/>
      <c r="G418" s="5"/>
      <c r="H418" s="5"/>
      <c r="I418" s="5"/>
      <c r="J418" s="5"/>
    </row>
    <row r="419" spans="2:10" x14ac:dyDescent="0.25">
      <c r="B419" s="5"/>
      <c r="C419" s="5"/>
      <c r="D419" s="5"/>
      <c r="E419" s="5"/>
      <c r="F419" s="5"/>
      <c r="G419" s="5"/>
      <c r="H419" s="5"/>
      <c r="I419" s="5"/>
      <c r="J419" s="5"/>
    </row>
    <row r="420" spans="2:10" x14ac:dyDescent="0.25">
      <c r="B420" s="5"/>
      <c r="C420" s="5"/>
      <c r="D420" s="5"/>
      <c r="E420" s="5"/>
      <c r="F420" s="5"/>
      <c r="G420" s="5"/>
      <c r="H420" s="5"/>
      <c r="I420" s="5"/>
      <c r="J420" s="5"/>
    </row>
    <row r="421" spans="2:10" x14ac:dyDescent="0.25">
      <c r="B421" s="5"/>
      <c r="C421" s="5"/>
      <c r="D421" s="5"/>
      <c r="E421" s="5"/>
      <c r="F421" s="5"/>
      <c r="G421" s="5"/>
      <c r="H421" s="5"/>
      <c r="I421" s="5"/>
      <c r="J421" s="5"/>
    </row>
    <row r="422" spans="2:10" x14ac:dyDescent="0.25">
      <c r="B422" s="5"/>
      <c r="C422" s="5"/>
      <c r="D422" s="5"/>
      <c r="E422" s="5"/>
      <c r="F422" s="5"/>
      <c r="G422" s="5"/>
      <c r="H422" s="5"/>
      <c r="I422" s="5"/>
      <c r="J422" s="5"/>
    </row>
    <row r="423" spans="2:10" x14ac:dyDescent="0.25">
      <c r="B423" s="5"/>
      <c r="C423" s="5"/>
      <c r="D423" s="5"/>
      <c r="E423" s="5"/>
      <c r="F423" s="5"/>
      <c r="G423" s="5"/>
      <c r="H423" s="5"/>
      <c r="I423" s="5"/>
      <c r="J423" s="5"/>
    </row>
    <row r="424" spans="2:10" x14ac:dyDescent="0.25">
      <c r="B424" s="5"/>
      <c r="C424" s="5"/>
      <c r="D424" s="5"/>
      <c r="E424" s="5"/>
      <c r="F424" s="5"/>
      <c r="G424" s="5"/>
      <c r="H424" s="5"/>
      <c r="I424" s="5"/>
      <c r="J424" s="5"/>
    </row>
    <row r="425" spans="2:10" x14ac:dyDescent="0.25">
      <c r="B425" s="5"/>
      <c r="C425" s="5"/>
      <c r="D425" s="5"/>
      <c r="E425" s="5"/>
      <c r="F425" s="5"/>
      <c r="G425" s="5"/>
      <c r="H425" s="5"/>
      <c r="I425" s="5"/>
      <c r="J425" s="5"/>
    </row>
    <row r="426" spans="2:10" x14ac:dyDescent="0.25">
      <c r="B426" s="5"/>
      <c r="C426" s="5"/>
      <c r="D426" s="5"/>
      <c r="E426" s="5"/>
      <c r="F426" s="5"/>
      <c r="G426" s="5"/>
      <c r="H426" s="5"/>
      <c r="I426" s="5"/>
      <c r="J426" s="5"/>
    </row>
    <row r="427" spans="2:10" x14ac:dyDescent="0.25">
      <c r="B427" s="5"/>
      <c r="C427" s="5"/>
      <c r="D427" s="5"/>
      <c r="E427" s="5"/>
      <c r="F427" s="5"/>
      <c r="G427" s="5"/>
      <c r="H427" s="5"/>
      <c r="I427" s="5"/>
      <c r="J427" s="5"/>
    </row>
    <row r="428" spans="2:10" x14ac:dyDescent="0.25">
      <c r="B428" s="5"/>
      <c r="C428" s="5"/>
      <c r="D428" s="5"/>
      <c r="E428" s="5"/>
      <c r="F428" s="5"/>
      <c r="G428" s="5"/>
      <c r="H428" s="5"/>
      <c r="I428" s="5"/>
      <c r="J428" s="5"/>
    </row>
    <row r="429" spans="2:10" x14ac:dyDescent="0.25">
      <c r="B429" s="5"/>
      <c r="C429" s="5"/>
      <c r="D429" s="5"/>
      <c r="E429" s="5"/>
      <c r="F429" s="5"/>
      <c r="G429" s="5"/>
      <c r="H429" s="5"/>
      <c r="I429" s="5"/>
      <c r="J429" s="5"/>
    </row>
    <row r="430" spans="2:10" x14ac:dyDescent="0.25">
      <c r="B430" s="5"/>
      <c r="C430" s="5"/>
      <c r="D430" s="5"/>
      <c r="E430" s="5"/>
      <c r="F430" s="5"/>
      <c r="G430" s="5"/>
      <c r="H430" s="5"/>
      <c r="I430" s="5"/>
      <c r="J430" s="5"/>
    </row>
    <row r="431" spans="2:10" x14ac:dyDescent="0.25">
      <c r="B431" s="5"/>
      <c r="C431" s="5"/>
      <c r="D431" s="5"/>
      <c r="E431" s="5"/>
      <c r="F431" s="5"/>
      <c r="G431" s="5"/>
      <c r="H431" s="5"/>
      <c r="I431" s="5"/>
      <c r="J431" s="5"/>
    </row>
    <row r="432" spans="2:10" x14ac:dyDescent="0.25">
      <c r="B432" s="5"/>
      <c r="C432" s="5"/>
      <c r="D432" s="5"/>
      <c r="E432" s="5"/>
      <c r="F432" s="5"/>
      <c r="G432" s="5"/>
      <c r="H432" s="5"/>
      <c r="I432" s="5"/>
      <c r="J432" s="5"/>
    </row>
    <row r="433" spans="2:10" x14ac:dyDescent="0.25">
      <c r="B433" s="5"/>
      <c r="C433" s="5"/>
      <c r="D433" s="5"/>
      <c r="E433" s="5"/>
      <c r="F433" s="5"/>
      <c r="G433" s="5"/>
      <c r="H433" s="5"/>
      <c r="I433" s="5"/>
      <c r="J433" s="5"/>
    </row>
    <row r="434" spans="2:10" x14ac:dyDescent="0.25">
      <c r="B434" s="5"/>
      <c r="C434" s="5"/>
      <c r="D434" s="5"/>
      <c r="E434" s="5"/>
      <c r="F434" s="5"/>
      <c r="G434" s="5"/>
      <c r="H434" s="5"/>
      <c r="I434" s="5"/>
      <c r="J434" s="5"/>
    </row>
    <row r="435" spans="2:10" x14ac:dyDescent="0.25">
      <c r="B435" s="5"/>
      <c r="C435" s="5"/>
      <c r="D435" s="5"/>
      <c r="E435" s="5"/>
      <c r="F435" s="5"/>
      <c r="G435" s="5"/>
      <c r="H435" s="5"/>
      <c r="I435" s="5"/>
      <c r="J435" s="5"/>
    </row>
    <row r="436" spans="2:10" x14ac:dyDescent="0.25">
      <c r="B436" s="5"/>
      <c r="C436" s="5"/>
      <c r="D436" s="5"/>
      <c r="E436" s="5"/>
      <c r="F436" s="5"/>
      <c r="G436" s="5"/>
      <c r="H436" s="5"/>
      <c r="I436" s="5"/>
      <c r="J436" s="5"/>
    </row>
    <row r="437" spans="2:10" x14ac:dyDescent="0.25">
      <c r="B437" s="5"/>
      <c r="C437" s="5"/>
      <c r="D437" s="5"/>
      <c r="E437" s="5"/>
      <c r="F437" s="5"/>
      <c r="G437" s="5"/>
      <c r="H437" s="5"/>
      <c r="I437" s="5"/>
      <c r="J437" s="5"/>
    </row>
    <row r="438" spans="2:10" x14ac:dyDescent="0.25">
      <c r="B438" s="5"/>
      <c r="C438" s="5"/>
      <c r="D438" s="5"/>
      <c r="E438" s="5"/>
      <c r="F438" s="5"/>
      <c r="G438" s="5"/>
      <c r="H438" s="5"/>
      <c r="I438" s="5"/>
      <c r="J438" s="5"/>
    </row>
    <row r="439" spans="2:10" x14ac:dyDescent="0.25">
      <c r="B439" s="5"/>
      <c r="C439" s="5"/>
      <c r="D439" s="5"/>
      <c r="E439" s="5"/>
      <c r="F439" s="5"/>
      <c r="G439" s="5"/>
      <c r="H439" s="5"/>
      <c r="I439" s="5"/>
      <c r="J439" s="5"/>
    </row>
    <row r="440" spans="2:10" x14ac:dyDescent="0.25">
      <c r="B440" s="5"/>
      <c r="C440" s="5"/>
      <c r="D440" s="5"/>
      <c r="E440" s="5"/>
      <c r="F440" s="5"/>
      <c r="G440" s="5"/>
      <c r="H440" s="5"/>
      <c r="I440" s="5"/>
      <c r="J440" s="5"/>
    </row>
    <row r="441" spans="2:10" x14ac:dyDescent="0.25">
      <c r="B441" s="5"/>
      <c r="C441" s="5"/>
      <c r="D441" s="5"/>
      <c r="E441" s="5"/>
      <c r="F441" s="5"/>
      <c r="G441" s="5"/>
      <c r="H441" s="5"/>
      <c r="I441" s="5"/>
      <c r="J441" s="5"/>
    </row>
    <row r="442" spans="2:10" x14ac:dyDescent="0.25">
      <c r="B442" s="5"/>
      <c r="C442" s="5"/>
      <c r="D442" s="5"/>
      <c r="E442" s="5"/>
      <c r="F442" s="5"/>
      <c r="G442" s="5"/>
      <c r="H442" s="5"/>
      <c r="I442" s="5"/>
      <c r="J442" s="5"/>
    </row>
    <row r="443" spans="2:10" x14ac:dyDescent="0.25">
      <c r="B443" s="5"/>
      <c r="C443" s="5"/>
      <c r="D443" s="5"/>
      <c r="E443" s="5"/>
      <c r="F443" s="5"/>
      <c r="G443" s="5"/>
      <c r="H443" s="5"/>
      <c r="I443" s="5"/>
      <c r="J443" s="5"/>
    </row>
    <row r="444" spans="2:10" x14ac:dyDescent="0.25">
      <c r="B444" s="5"/>
      <c r="C444" s="5"/>
      <c r="D444" s="5"/>
      <c r="E444" s="5"/>
      <c r="F444" s="5"/>
      <c r="G444" s="5"/>
      <c r="H444" s="5"/>
      <c r="I444" s="5"/>
      <c r="J444" s="5"/>
    </row>
    <row r="445" spans="2:10" x14ac:dyDescent="0.25">
      <c r="B445" s="5"/>
      <c r="C445" s="5"/>
      <c r="D445" s="5"/>
      <c r="E445" s="5"/>
      <c r="F445" s="5"/>
      <c r="G445" s="5"/>
      <c r="H445" s="5"/>
      <c r="I445" s="5"/>
      <c r="J445" s="5"/>
    </row>
    <row r="446" spans="2:10" x14ac:dyDescent="0.25">
      <c r="B446" s="5"/>
      <c r="C446" s="5"/>
      <c r="D446" s="5"/>
      <c r="E446" s="5"/>
      <c r="F446" s="5"/>
      <c r="G446" s="5"/>
      <c r="H446" s="5"/>
      <c r="I446" s="5"/>
      <c r="J446" s="5"/>
    </row>
    <row r="447" spans="2:10" x14ac:dyDescent="0.25">
      <c r="B447" s="5"/>
      <c r="C447" s="5"/>
      <c r="D447" s="5"/>
      <c r="E447" s="5"/>
      <c r="F447" s="5"/>
      <c r="G447" s="5"/>
      <c r="H447" s="5"/>
      <c r="I447" s="5"/>
      <c r="J447" s="5"/>
    </row>
    <row r="448" spans="2:10" x14ac:dyDescent="0.25">
      <c r="B448" s="5"/>
      <c r="C448" s="5"/>
      <c r="D448" s="5"/>
      <c r="E448" s="5"/>
      <c r="F448" s="5"/>
      <c r="G448" s="5"/>
      <c r="H448" s="5"/>
      <c r="I448" s="5"/>
      <c r="J448" s="5"/>
    </row>
    <row r="449" spans="2:10" x14ac:dyDescent="0.25">
      <c r="B449" s="5"/>
      <c r="C449" s="5"/>
      <c r="D449" s="5"/>
      <c r="E449" s="5"/>
      <c r="F449" s="5"/>
      <c r="G449" s="5"/>
      <c r="H449" s="5"/>
      <c r="I449" s="5"/>
      <c r="J449" s="5"/>
    </row>
    <row r="450" spans="2:10" x14ac:dyDescent="0.25">
      <c r="B450" s="5"/>
      <c r="C450" s="5"/>
      <c r="D450" s="5"/>
      <c r="E450" s="5"/>
      <c r="F450" s="5"/>
      <c r="G450" s="5"/>
      <c r="H450" s="5"/>
      <c r="I450" s="5"/>
      <c r="J450" s="5"/>
    </row>
    <row r="451" spans="2:10" x14ac:dyDescent="0.25">
      <c r="B451" s="5"/>
      <c r="C451" s="5"/>
      <c r="D451" s="5"/>
      <c r="E451" s="5"/>
      <c r="F451" s="5"/>
      <c r="G451" s="5"/>
      <c r="H451" s="5"/>
      <c r="I451" s="5"/>
      <c r="J451" s="5"/>
    </row>
    <row r="452" spans="2:10" x14ac:dyDescent="0.25">
      <c r="B452" s="5"/>
      <c r="C452" s="5"/>
      <c r="D452" s="5"/>
      <c r="E452" s="5"/>
      <c r="F452" s="5"/>
      <c r="G452" s="5"/>
      <c r="H452" s="5"/>
      <c r="I452" s="5"/>
      <c r="J452" s="5"/>
    </row>
    <row r="453" spans="2:10" x14ac:dyDescent="0.25">
      <c r="B453" s="5"/>
      <c r="C453" s="5"/>
      <c r="D453" s="5"/>
      <c r="E453" s="5"/>
      <c r="F453" s="5"/>
      <c r="G453" s="5"/>
      <c r="H453" s="5"/>
      <c r="I453" s="5"/>
      <c r="J453" s="5"/>
    </row>
    <row r="454" spans="2:10" x14ac:dyDescent="0.25">
      <c r="B454" s="5"/>
      <c r="C454" s="5"/>
      <c r="D454" s="5"/>
      <c r="E454" s="5"/>
      <c r="F454" s="5"/>
      <c r="G454" s="5"/>
      <c r="H454" s="5"/>
      <c r="I454" s="5"/>
      <c r="J454" s="5"/>
    </row>
    <row r="455" spans="2:10" x14ac:dyDescent="0.25">
      <c r="B455" s="5"/>
      <c r="C455" s="5"/>
      <c r="D455" s="5"/>
      <c r="E455" s="5"/>
      <c r="F455" s="5"/>
      <c r="G455" s="5"/>
      <c r="H455" s="5"/>
      <c r="I455" s="5"/>
      <c r="J455" s="5"/>
    </row>
    <row r="456" spans="2:10" x14ac:dyDescent="0.25">
      <c r="B456" s="5"/>
      <c r="C456" s="5"/>
      <c r="D456" s="5"/>
      <c r="E456" s="5"/>
      <c r="F456" s="5"/>
      <c r="G456" s="5"/>
      <c r="H456" s="5"/>
      <c r="I456" s="5"/>
      <c r="J456" s="5"/>
    </row>
    <row r="457" spans="2:10" x14ac:dyDescent="0.25">
      <c r="B457" s="5"/>
      <c r="C457" s="5"/>
      <c r="D457" s="5"/>
      <c r="E457" s="5"/>
      <c r="F457" s="5"/>
      <c r="G457" s="5"/>
      <c r="H457" s="5"/>
      <c r="I457" s="5"/>
      <c r="J457" s="5"/>
    </row>
    <row r="458" spans="2:10" x14ac:dyDescent="0.25">
      <c r="B458" s="5"/>
      <c r="C458" s="5"/>
      <c r="D458" s="5"/>
      <c r="E458" s="5"/>
      <c r="F458" s="5"/>
      <c r="G458" s="5"/>
      <c r="H458" s="5"/>
      <c r="I458" s="5"/>
      <c r="J458" s="5"/>
    </row>
    <row r="459" spans="2:10" x14ac:dyDescent="0.25">
      <c r="B459" s="5"/>
      <c r="C459" s="5"/>
      <c r="D459" s="5"/>
      <c r="E459" s="5"/>
      <c r="F459" s="5"/>
      <c r="G459" s="5"/>
      <c r="H459" s="5"/>
      <c r="I459" s="5"/>
      <c r="J459" s="5"/>
    </row>
    <row r="460" spans="2:10" x14ac:dyDescent="0.25">
      <c r="B460" s="5"/>
      <c r="C460" s="5"/>
      <c r="D460" s="5"/>
      <c r="E460" s="5"/>
      <c r="F460" s="5"/>
      <c r="G460" s="5"/>
      <c r="H460" s="5"/>
      <c r="I460" s="5"/>
      <c r="J460" s="5"/>
    </row>
    <row r="461" spans="2:10" x14ac:dyDescent="0.25">
      <c r="B461" s="5"/>
      <c r="C461" s="5"/>
      <c r="D461" s="5"/>
      <c r="E461" s="5"/>
      <c r="F461" s="5"/>
      <c r="G461" s="5"/>
      <c r="H461" s="5"/>
      <c r="I461" s="5"/>
      <c r="J461" s="5"/>
    </row>
    <row r="462" spans="2:10" x14ac:dyDescent="0.25">
      <c r="B462" s="5"/>
      <c r="C462" s="5"/>
      <c r="D462" s="5"/>
      <c r="E462" s="5"/>
      <c r="F462" s="5"/>
      <c r="G462" s="5"/>
      <c r="H462" s="5"/>
      <c r="I462" s="5"/>
      <c r="J462" s="5"/>
    </row>
    <row r="463" spans="2:10" x14ac:dyDescent="0.25">
      <c r="B463" s="5"/>
      <c r="C463" s="5"/>
      <c r="D463" s="5"/>
      <c r="E463" s="5"/>
      <c r="F463" s="5"/>
      <c r="G463" s="5"/>
      <c r="H463" s="5"/>
      <c r="I463" s="5"/>
      <c r="J463" s="5"/>
    </row>
    <row r="464" spans="2:10" x14ac:dyDescent="0.25">
      <c r="B464" s="5"/>
      <c r="C464" s="5"/>
      <c r="D464" s="5"/>
      <c r="E464" s="5"/>
      <c r="F464" s="5"/>
      <c r="G464" s="5"/>
      <c r="H464" s="5"/>
      <c r="I464" s="5"/>
      <c r="J464" s="5"/>
    </row>
    <row r="465" spans="2:10" x14ac:dyDescent="0.25">
      <c r="B465" s="5"/>
      <c r="C465" s="5"/>
      <c r="D465" s="5"/>
      <c r="E465" s="5"/>
      <c r="F465" s="5"/>
      <c r="G465" s="5"/>
      <c r="H465" s="5"/>
      <c r="I465" s="5"/>
      <c r="J465" s="5"/>
    </row>
    <row r="466" spans="2:10" x14ac:dyDescent="0.25">
      <c r="B466" s="5"/>
      <c r="C466" s="5"/>
      <c r="D466" s="5"/>
      <c r="E466" s="5"/>
      <c r="F466" s="5"/>
      <c r="G466" s="5"/>
      <c r="H466" s="5"/>
      <c r="I466" s="5"/>
      <c r="J466" s="5"/>
    </row>
    <row r="467" spans="2:10" x14ac:dyDescent="0.25">
      <c r="B467" s="5"/>
      <c r="C467" s="5"/>
      <c r="D467" s="5"/>
      <c r="E467" s="5"/>
      <c r="F467" s="5"/>
      <c r="G467" s="5"/>
      <c r="H467" s="5"/>
      <c r="I467" s="5"/>
      <c r="J467" s="5"/>
    </row>
    <row r="468" spans="2:10" x14ac:dyDescent="0.25">
      <c r="B468" s="5"/>
      <c r="C468" s="5"/>
      <c r="D468" s="5"/>
      <c r="E468" s="5"/>
      <c r="F468" s="5"/>
      <c r="G468" s="5"/>
      <c r="H468" s="5"/>
      <c r="I468" s="5"/>
      <c r="J468" s="5"/>
    </row>
    <row r="469" spans="2:10" x14ac:dyDescent="0.25">
      <c r="B469" s="5"/>
      <c r="C469" s="5"/>
      <c r="D469" s="5"/>
      <c r="E469" s="5"/>
      <c r="F469" s="5"/>
      <c r="G469" s="5"/>
      <c r="H469" s="5"/>
      <c r="I469" s="5"/>
      <c r="J469" s="5"/>
    </row>
    <row r="470" spans="2:10" x14ac:dyDescent="0.25">
      <c r="B470" s="5"/>
      <c r="C470" s="5"/>
      <c r="D470" s="5"/>
      <c r="E470" s="5"/>
      <c r="F470" s="5"/>
      <c r="G470" s="5"/>
      <c r="H470" s="5"/>
      <c r="I470" s="5"/>
      <c r="J470" s="5"/>
    </row>
    <row r="471" spans="2:10" x14ac:dyDescent="0.25">
      <c r="B471" s="5"/>
      <c r="C471" s="5"/>
      <c r="D471" s="5"/>
      <c r="E471" s="5"/>
      <c r="F471" s="5"/>
      <c r="G471" s="5"/>
      <c r="H471" s="5"/>
      <c r="I471" s="5"/>
      <c r="J471" s="5"/>
    </row>
    <row r="472" spans="2:10" x14ac:dyDescent="0.25">
      <c r="B472" s="5"/>
      <c r="C472" s="5"/>
      <c r="D472" s="5"/>
      <c r="E472" s="5"/>
      <c r="F472" s="5"/>
      <c r="G472" s="5"/>
      <c r="H472" s="5"/>
      <c r="I472" s="5"/>
      <c r="J472" s="5"/>
    </row>
    <row r="473" spans="2:10" x14ac:dyDescent="0.25">
      <c r="B473" s="5"/>
      <c r="C473" s="5"/>
      <c r="D473" s="5"/>
      <c r="E473" s="5"/>
      <c r="F473" s="5"/>
      <c r="G473" s="5"/>
      <c r="H473" s="5"/>
      <c r="I473" s="5"/>
      <c r="J473" s="5"/>
    </row>
    <row r="474" spans="2:10" x14ac:dyDescent="0.25">
      <c r="B474" s="5"/>
      <c r="C474" s="5"/>
      <c r="D474" s="5"/>
      <c r="E474" s="5"/>
      <c r="F474" s="5"/>
      <c r="G474" s="5"/>
      <c r="H474" s="5"/>
      <c r="I474" s="5"/>
      <c r="J474" s="5"/>
    </row>
    <row r="475" spans="2:10" x14ac:dyDescent="0.25">
      <c r="B475" s="5"/>
      <c r="C475" s="5"/>
      <c r="D475" s="5"/>
      <c r="E475" s="5"/>
      <c r="F475" s="5"/>
      <c r="G475" s="5"/>
      <c r="H475" s="5"/>
      <c r="I475" s="5"/>
      <c r="J475" s="5"/>
    </row>
    <row r="476" spans="2:10" x14ac:dyDescent="0.25">
      <c r="B476" s="5"/>
      <c r="C476" s="5"/>
      <c r="D476" s="5"/>
      <c r="E476" s="5"/>
      <c r="F476" s="5"/>
      <c r="G476" s="5"/>
      <c r="H476" s="5"/>
      <c r="I476" s="5"/>
      <c r="J476" s="5"/>
    </row>
    <row r="477" spans="2:10" x14ac:dyDescent="0.25">
      <c r="B477" s="5"/>
      <c r="C477" s="5"/>
      <c r="D477" s="5"/>
      <c r="E477" s="5"/>
      <c r="F477" s="5"/>
      <c r="G477" s="5"/>
      <c r="H477" s="5"/>
      <c r="I477" s="5"/>
      <c r="J477" s="5"/>
    </row>
    <row r="478" spans="2:10" x14ac:dyDescent="0.25">
      <c r="B478" s="5"/>
      <c r="C478" s="5"/>
      <c r="D478" s="5"/>
      <c r="E478" s="5"/>
      <c r="F478" s="5"/>
      <c r="G478" s="5"/>
      <c r="H478" s="5"/>
      <c r="I478" s="5"/>
      <c r="J478" s="5"/>
    </row>
    <row r="479" spans="2:10" x14ac:dyDescent="0.25">
      <c r="B479" s="5"/>
      <c r="C479" s="5"/>
      <c r="D479" s="5"/>
      <c r="E479" s="5"/>
      <c r="F479" s="5"/>
      <c r="G479" s="5"/>
      <c r="H479" s="5"/>
      <c r="I479" s="5"/>
      <c r="J479" s="5"/>
    </row>
    <row r="480" spans="2:10" x14ac:dyDescent="0.25">
      <c r="B480" s="5"/>
      <c r="C480" s="5"/>
      <c r="D480" s="5"/>
      <c r="E480" s="5"/>
      <c r="F480" s="5"/>
      <c r="G480" s="5"/>
      <c r="H480" s="5"/>
      <c r="I480" s="5"/>
      <c r="J480" s="5"/>
    </row>
    <row r="481" spans="2:10" x14ac:dyDescent="0.25">
      <c r="B481" s="5"/>
      <c r="C481" s="5"/>
      <c r="D481" s="5"/>
      <c r="E481" s="5"/>
      <c r="F481" s="5"/>
      <c r="G481" s="5"/>
      <c r="H481" s="5"/>
      <c r="I481" s="5"/>
      <c r="J481" s="5"/>
    </row>
    <row r="482" spans="2:10" x14ac:dyDescent="0.25">
      <c r="B482" s="5"/>
      <c r="C482" s="5"/>
      <c r="D482" s="5"/>
      <c r="E482" s="5"/>
      <c r="F482" s="5"/>
      <c r="G482" s="5"/>
      <c r="H482" s="5"/>
      <c r="I482" s="5"/>
      <c r="J482" s="5"/>
    </row>
    <row r="483" spans="2:10" x14ac:dyDescent="0.25">
      <c r="B483" s="5"/>
      <c r="C483" s="5"/>
      <c r="D483" s="5"/>
      <c r="E483" s="5"/>
      <c r="F483" s="5"/>
      <c r="G483" s="5"/>
      <c r="H483" s="5"/>
      <c r="I483" s="5"/>
      <c r="J483" s="5"/>
    </row>
    <row r="484" spans="2:10" x14ac:dyDescent="0.25">
      <c r="B484" s="5"/>
      <c r="C484" s="5"/>
      <c r="D484" s="5"/>
      <c r="E484" s="5"/>
      <c r="F484" s="5"/>
      <c r="G484" s="5"/>
      <c r="H484" s="5"/>
      <c r="I484" s="5"/>
      <c r="J484" s="5"/>
    </row>
    <row r="485" spans="2:10" x14ac:dyDescent="0.25">
      <c r="B485" s="5"/>
      <c r="C485" s="5"/>
      <c r="D485" s="5"/>
      <c r="E485" s="5"/>
      <c r="F485" s="5"/>
      <c r="G485" s="5"/>
      <c r="H485" s="5"/>
      <c r="I485" s="5"/>
      <c r="J485" s="5"/>
    </row>
    <row r="486" spans="2:10" x14ac:dyDescent="0.25">
      <c r="B486" s="5"/>
      <c r="C486" s="5"/>
      <c r="D486" s="5"/>
      <c r="E486" s="5"/>
      <c r="F486" s="5"/>
      <c r="G486" s="5"/>
      <c r="H486" s="5"/>
      <c r="I486" s="5"/>
      <c r="J486" s="5"/>
    </row>
    <row r="487" spans="2:10" x14ac:dyDescent="0.25">
      <c r="B487" s="5"/>
      <c r="C487" s="5"/>
      <c r="D487" s="5"/>
      <c r="E487" s="5"/>
      <c r="F487" s="5"/>
      <c r="G487" s="5"/>
      <c r="H487" s="5"/>
      <c r="I487" s="5"/>
      <c r="J487" s="5"/>
    </row>
    <row r="488" spans="2:10" x14ac:dyDescent="0.25">
      <c r="B488" s="5"/>
      <c r="C488" s="5"/>
      <c r="D488" s="5"/>
      <c r="E488" s="5"/>
      <c r="F488" s="5"/>
      <c r="G488" s="5"/>
      <c r="H488" s="5"/>
      <c r="I488" s="5"/>
      <c r="J488" s="5"/>
    </row>
    <row r="489" spans="2:10" x14ac:dyDescent="0.25">
      <c r="B489" s="5"/>
      <c r="C489" s="5"/>
      <c r="D489" s="5"/>
      <c r="E489" s="5"/>
      <c r="F489" s="5"/>
      <c r="G489" s="5"/>
      <c r="H489" s="5"/>
      <c r="I489" s="5"/>
      <c r="J489" s="5"/>
    </row>
    <row r="490" spans="2:10" x14ac:dyDescent="0.25">
      <c r="B490" s="5"/>
      <c r="C490" s="5"/>
      <c r="D490" s="5"/>
      <c r="E490" s="5"/>
      <c r="F490" s="5"/>
      <c r="G490" s="5"/>
      <c r="H490" s="5"/>
      <c r="I490" s="5"/>
      <c r="J490" s="5"/>
    </row>
    <row r="491" spans="2:10" x14ac:dyDescent="0.25">
      <c r="B491" s="5"/>
      <c r="C491" s="5"/>
      <c r="D491" s="5"/>
      <c r="E491" s="5"/>
      <c r="F491" s="5"/>
      <c r="G491" s="5"/>
      <c r="H491" s="5"/>
      <c r="I491" s="5"/>
      <c r="J491" s="5"/>
    </row>
    <row r="492" spans="2:10" x14ac:dyDescent="0.25">
      <c r="B492" s="5"/>
      <c r="C492" s="5"/>
      <c r="D492" s="5"/>
      <c r="E492" s="5"/>
      <c r="F492" s="5"/>
      <c r="G492" s="5"/>
      <c r="H492" s="5"/>
      <c r="I492" s="5"/>
      <c r="J492" s="5"/>
    </row>
    <row r="493" spans="2:10" x14ac:dyDescent="0.25">
      <c r="B493" s="5"/>
      <c r="C493" s="5"/>
      <c r="D493" s="5"/>
      <c r="E493" s="5"/>
      <c r="F493" s="5"/>
      <c r="G493" s="5"/>
      <c r="H493" s="5"/>
      <c r="I493" s="5"/>
      <c r="J493" s="5"/>
    </row>
    <row r="494" spans="2:10" x14ac:dyDescent="0.25">
      <c r="B494" s="5"/>
      <c r="C494" s="5"/>
      <c r="D494" s="5"/>
      <c r="E494" s="5"/>
      <c r="F494" s="5"/>
      <c r="G494" s="5"/>
      <c r="H494" s="5"/>
      <c r="I494" s="5"/>
      <c r="J494" s="5"/>
    </row>
    <row r="495" spans="2:10" x14ac:dyDescent="0.25">
      <c r="B495" s="5"/>
      <c r="C495" s="5"/>
      <c r="D495" s="5"/>
      <c r="E495" s="5"/>
      <c r="F495" s="5"/>
      <c r="G495" s="5"/>
      <c r="H495" s="5"/>
      <c r="I495" s="5"/>
      <c r="J495" s="5"/>
    </row>
    <row r="496" spans="2:10" x14ac:dyDescent="0.25">
      <c r="B496" s="5"/>
      <c r="C496" s="5"/>
      <c r="D496" s="5"/>
      <c r="E496" s="5"/>
      <c r="F496" s="5"/>
      <c r="G496" s="5"/>
      <c r="H496" s="5"/>
      <c r="I496" s="5"/>
      <c r="J496" s="5"/>
    </row>
    <row r="497" spans="2:10" x14ac:dyDescent="0.25">
      <c r="B497" s="5"/>
      <c r="C497" s="5"/>
      <c r="D497" s="5"/>
      <c r="E497" s="5"/>
      <c r="F497" s="5"/>
      <c r="G497" s="5"/>
      <c r="H497" s="5"/>
      <c r="I497" s="5"/>
      <c r="J497" s="5"/>
    </row>
    <row r="498" spans="2:10" x14ac:dyDescent="0.25">
      <c r="B498" s="5"/>
      <c r="C498" s="5"/>
      <c r="D498" s="5"/>
      <c r="E498" s="5"/>
      <c r="F498" s="5"/>
      <c r="G498" s="5"/>
      <c r="H498" s="5"/>
      <c r="I498" s="5"/>
      <c r="J498" s="5"/>
    </row>
    <row r="499" spans="2:10" x14ac:dyDescent="0.25">
      <c r="B499" s="5"/>
      <c r="C499" s="5"/>
      <c r="D499" s="5"/>
      <c r="E499" s="5"/>
      <c r="F499" s="5"/>
      <c r="G499" s="5"/>
      <c r="H499" s="5"/>
      <c r="I499" s="5"/>
      <c r="J499" s="5"/>
    </row>
    <row r="500" spans="2:10" x14ac:dyDescent="0.25">
      <c r="B500" s="5"/>
      <c r="C500" s="5"/>
      <c r="D500" s="5"/>
      <c r="E500" s="5"/>
      <c r="F500" s="5"/>
      <c r="G500" s="5"/>
      <c r="H500" s="5"/>
      <c r="I500" s="5"/>
      <c r="J500" s="5"/>
    </row>
    <row r="501" spans="2:10" x14ac:dyDescent="0.25">
      <c r="B501" s="5"/>
      <c r="C501" s="5"/>
      <c r="D501" s="5"/>
      <c r="E501" s="5"/>
      <c r="F501" s="5"/>
      <c r="G501" s="5"/>
      <c r="H501" s="5"/>
      <c r="I501" s="5"/>
      <c r="J501" s="5"/>
    </row>
    <row r="502" spans="2:10" x14ac:dyDescent="0.25">
      <c r="B502" s="5"/>
      <c r="C502" s="5"/>
      <c r="D502" s="5"/>
      <c r="E502" s="5"/>
      <c r="F502" s="5"/>
      <c r="G502" s="5"/>
      <c r="H502" s="5"/>
      <c r="I502" s="5"/>
      <c r="J502" s="5"/>
    </row>
    <row r="503" spans="2:10" x14ac:dyDescent="0.25">
      <c r="B503" s="5"/>
      <c r="C503" s="5"/>
      <c r="D503" s="5"/>
      <c r="E503" s="5"/>
      <c r="F503" s="5"/>
      <c r="G503" s="5"/>
      <c r="H503" s="5"/>
      <c r="I503" s="5"/>
      <c r="J503" s="5"/>
    </row>
    <row r="504" spans="2:10" x14ac:dyDescent="0.25">
      <c r="B504" s="5"/>
      <c r="C504" s="5"/>
      <c r="D504" s="5"/>
      <c r="E504" s="5"/>
      <c r="F504" s="5"/>
      <c r="G504" s="5"/>
      <c r="H504" s="5"/>
      <c r="I504" s="5"/>
      <c r="J504" s="5"/>
    </row>
    <row r="505" spans="2:10" x14ac:dyDescent="0.25">
      <c r="B505" s="5"/>
      <c r="C505" s="5"/>
      <c r="D505" s="5"/>
      <c r="E505" s="5"/>
      <c r="F505" s="5"/>
      <c r="G505" s="5"/>
      <c r="H505" s="5"/>
      <c r="I505" s="5"/>
      <c r="J505" s="5"/>
    </row>
    <row r="506" spans="2:10" x14ac:dyDescent="0.25">
      <c r="B506" s="5"/>
      <c r="C506" s="5"/>
      <c r="D506" s="5"/>
      <c r="E506" s="5"/>
      <c r="F506" s="5"/>
      <c r="G506" s="5"/>
      <c r="H506" s="5"/>
      <c r="I506" s="5"/>
      <c r="J506" s="5"/>
    </row>
    <row r="507" spans="2:10" x14ac:dyDescent="0.25">
      <c r="B507" s="5"/>
      <c r="C507" s="5"/>
      <c r="D507" s="5"/>
      <c r="E507" s="5"/>
      <c r="F507" s="5"/>
      <c r="G507" s="5"/>
      <c r="H507" s="5"/>
      <c r="I507" s="5"/>
      <c r="J507" s="5"/>
    </row>
    <row r="508" spans="2:10" x14ac:dyDescent="0.25">
      <c r="B508" s="5"/>
      <c r="C508" s="5"/>
      <c r="D508" s="5"/>
      <c r="E508" s="5"/>
      <c r="F508" s="5"/>
      <c r="G508" s="5"/>
      <c r="H508" s="5"/>
      <c r="I508" s="5"/>
      <c r="J508" s="5"/>
    </row>
    <row r="509" spans="2:10" x14ac:dyDescent="0.25">
      <c r="B509" s="5"/>
      <c r="C509" s="5"/>
      <c r="D509" s="5"/>
      <c r="E509" s="5"/>
      <c r="F509" s="5"/>
      <c r="G509" s="5"/>
      <c r="H509" s="5"/>
      <c r="I509" s="5"/>
      <c r="J509" s="5"/>
    </row>
    <row r="510" spans="2:10" x14ac:dyDescent="0.25">
      <c r="B510" s="5"/>
      <c r="C510" s="5"/>
      <c r="D510" s="5"/>
      <c r="E510" s="5"/>
      <c r="F510" s="5"/>
      <c r="G510" s="5"/>
      <c r="H510" s="5"/>
      <c r="I510" s="5"/>
      <c r="J510" s="5"/>
    </row>
    <row r="511" spans="2:10" x14ac:dyDescent="0.25">
      <c r="B511" s="5"/>
      <c r="C511" s="5"/>
      <c r="D511" s="5"/>
      <c r="E511" s="5"/>
      <c r="F511" s="5"/>
      <c r="G511" s="5"/>
      <c r="H511" s="5"/>
      <c r="I511" s="5"/>
      <c r="J511" s="5"/>
    </row>
    <row r="512" spans="2:10" x14ac:dyDescent="0.25">
      <c r="B512" s="5"/>
      <c r="C512" s="5"/>
      <c r="D512" s="5"/>
      <c r="E512" s="5"/>
      <c r="F512" s="5"/>
      <c r="G512" s="5"/>
      <c r="H512" s="5"/>
      <c r="I512" s="5"/>
      <c r="J512" s="5"/>
    </row>
    <row r="513" spans="2:10" x14ac:dyDescent="0.25">
      <c r="B513" s="5"/>
      <c r="C513" s="5"/>
      <c r="D513" s="5"/>
      <c r="E513" s="5"/>
      <c r="F513" s="5"/>
      <c r="G513" s="5"/>
      <c r="H513" s="5"/>
      <c r="I513" s="5"/>
      <c r="J513" s="5"/>
    </row>
    <row r="514" spans="2:10" x14ac:dyDescent="0.25">
      <c r="B514" s="5"/>
      <c r="C514" s="5"/>
      <c r="D514" s="5"/>
      <c r="E514" s="5"/>
      <c r="F514" s="5"/>
      <c r="G514" s="5"/>
      <c r="H514" s="5"/>
      <c r="I514" s="5"/>
      <c r="J514" s="5"/>
    </row>
    <row r="515" spans="2:10" x14ac:dyDescent="0.25">
      <c r="B515" s="5"/>
      <c r="C515" s="5"/>
      <c r="D515" s="5"/>
      <c r="E515" s="5"/>
      <c r="F515" s="5"/>
      <c r="G515" s="5"/>
      <c r="H515" s="5"/>
      <c r="I515" s="5"/>
      <c r="J515" s="5"/>
    </row>
    <row r="516" spans="2:10" x14ac:dyDescent="0.25">
      <c r="B516" s="5"/>
      <c r="C516" s="5"/>
      <c r="D516" s="5"/>
      <c r="E516" s="5"/>
      <c r="F516" s="5"/>
      <c r="G516" s="5"/>
      <c r="H516" s="5"/>
      <c r="I516" s="5"/>
      <c r="J516" s="5"/>
    </row>
    <row r="517" spans="2:10" x14ac:dyDescent="0.25">
      <c r="B517" s="5"/>
      <c r="C517" s="5"/>
      <c r="D517" s="5"/>
      <c r="E517" s="5"/>
      <c r="F517" s="5"/>
      <c r="G517" s="5"/>
      <c r="H517" s="5"/>
      <c r="I517" s="5"/>
      <c r="J517" s="5"/>
    </row>
    <row r="518" spans="2:10" x14ac:dyDescent="0.25">
      <c r="B518" s="5"/>
      <c r="C518" s="5"/>
      <c r="D518" s="5"/>
      <c r="E518" s="5"/>
      <c r="F518" s="5"/>
      <c r="G518" s="5"/>
      <c r="H518" s="5"/>
      <c r="I518" s="5"/>
      <c r="J518" s="5"/>
    </row>
    <row r="519" spans="2:10" x14ac:dyDescent="0.25">
      <c r="B519" s="5"/>
      <c r="C519" s="5"/>
      <c r="D519" s="5"/>
      <c r="E519" s="5"/>
      <c r="F519" s="5"/>
      <c r="G519" s="5"/>
      <c r="H519" s="5"/>
      <c r="I519" s="5"/>
      <c r="J519" s="5"/>
    </row>
    <row r="520" spans="2:10" x14ac:dyDescent="0.25">
      <c r="B520" s="5"/>
      <c r="C520" s="5"/>
      <c r="D520" s="5"/>
      <c r="E520" s="5"/>
      <c r="F520" s="5"/>
      <c r="G520" s="5"/>
      <c r="H520" s="5"/>
      <c r="I520" s="5"/>
      <c r="J520" s="5"/>
    </row>
    <row r="521" spans="2:10" x14ac:dyDescent="0.25">
      <c r="B521" s="5"/>
      <c r="C521" s="5"/>
      <c r="D521" s="5"/>
      <c r="E521" s="5"/>
      <c r="F521" s="5"/>
      <c r="G521" s="5"/>
      <c r="H521" s="5"/>
      <c r="I521" s="5"/>
      <c r="J521" s="5"/>
    </row>
    <row r="522" spans="2:10" x14ac:dyDescent="0.25">
      <c r="B522" s="5"/>
      <c r="C522" s="5"/>
      <c r="D522" s="5"/>
      <c r="E522" s="5"/>
      <c r="F522" s="5"/>
      <c r="G522" s="5"/>
      <c r="H522" s="5"/>
      <c r="I522" s="5"/>
      <c r="J522" s="5"/>
    </row>
    <row r="523" spans="2:10" x14ac:dyDescent="0.25">
      <c r="B523" s="5"/>
      <c r="C523" s="5"/>
      <c r="D523" s="5"/>
      <c r="E523" s="5"/>
      <c r="F523" s="5"/>
      <c r="G523" s="5"/>
      <c r="H523" s="5"/>
      <c r="I523" s="5"/>
      <c r="J523" s="5"/>
    </row>
    <row r="524" spans="2:10" x14ac:dyDescent="0.25">
      <c r="B524" s="5"/>
      <c r="C524" s="5"/>
      <c r="D524" s="5"/>
      <c r="E524" s="5"/>
      <c r="F524" s="5"/>
      <c r="G524" s="5"/>
      <c r="H524" s="5"/>
      <c r="I524" s="5"/>
      <c r="J524" s="5"/>
    </row>
    <row r="525" spans="2:10" x14ac:dyDescent="0.25">
      <c r="B525" s="5"/>
      <c r="C525" s="5"/>
      <c r="D525" s="5"/>
      <c r="E525" s="5"/>
      <c r="F525" s="5"/>
      <c r="G525" s="5"/>
      <c r="H525" s="5"/>
      <c r="I525" s="5"/>
      <c r="J525" s="5"/>
    </row>
    <row r="526" spans="2:10" x14ac:dyDescent="0.25">
      <c r="B526" s="5"/>
      <c r="C526" s="5"/>
      <c r="D526" s="5"/>
      <c r="E526" s="5"/>
      <c r="F526" s="5"/>
      <c r="G526" s="5"/>
      <c r="H526" s="5"/>
      <c r="I526" s="5"/>
      <c r="J526" s="5"/>
    </row>
    <row r="527" spans="2:10" x14ac:dyDescent="0.25">
      <c r="B527" s="5"/>
      <c r="C527" s="5"/>
      <c r="D527" s="5"/>
      <c r="E527" s="5"/>
      <c r="F527" s="5"/>
      <c r="G527" s="5"/>
      <c r="H527" s="5"/>
      <c r="I527" s="5"/>
      <c r="J527" s="5"/>
    </row>
    <row r="528" spans="2:10" x14ac:dyDescent="0.25">
      <c r="B528" s="5"/>
      <c r="C528" s="5"/>
      <c r="D528" s="5"/>
      <c r="E528" s="5"/>
      <c r="F528" s="5"/>
      <c r="G528" s="5"/>
      <c r="H528" s="5"/>
      <c r="I528" s="5"/>
      <c r="J528" s="5"/>
    </row>
    <row r="529" spans="2:10" x14ac:dyDescent="0.25">
      <c r="B529" s="5"/>
      <c r="C529" s="5"/>
      <c r="D529" s="5"/>
      <c r="E529" s="5"/>
      <c r="F529" s="5"/>
      <c r="G529" s="5"/>
      <c r="H529" s="5"/>
      <c r="I529" s="5"/>
      <c r="J529" s="5"/>
    </row>
    <row r="530" spans="2:10" x14ac:dyDescent="0.25">
      <c r="B530" s="5"/>
      <c r="C530" s="5"/>
      <c r="D530" s="5"/>
      <c r="E530" s="5"/>
      <c r="F530" s="5"/>
      <c r="G530" s="5"/>
      <c r="H530" s="5"/>
      <c r="I530" s="5"/>
      <c r="J530" s="5"/>
    </row>
    <row r="531" spans="2:10" x14ac:dyDescent="0.25">
      <c r="B531" s="5"/>
      <c r="C531" s="5"/>
      <c r="D531" s="5"/>
      <c r="E531" s="5"/>
      <c r="F531" s="5"/>
      <c r="G531" s="5"/>
      <c r="H531" s="5"/>
      <c r="I531" s="5"/>
      <c r="J531" s="5"/>
    </row>
    <row r="532" spans="2:10" x14ac:dyDescent="0.25">
      <c r="B532" s="5"/>
      <c r="C532" s="5"/>
      <c r="D532" s="5"/>
      <c r="E532" s="5"/>
      <c r="F532" s="5"/>
      <c r="G532" s="5"/>
      <c r="H532" s="5"/>
      <c r="I532" s="5"/>
      <c r="J532" s="5"/>
    </row>
    <row r="533" spans="2:10" x14ac:dyDescent="0.25">
      <c r="B533" s="5"/>
      <c r="C533" s="5"/>
      <c r="D533" s="5"/>
      <c r="E533" s="5"/>
      <c r="F533" s="5"/>
      <c r="G533" s="5"/>
      <c r="H533" s="5"/>
      <c r="I533" s="5"/>
      <c r="J533" s="5"/>
    </row>
    <row r="534" spans="2:10" x14ac:dyDescent="0.25">
      <c r="B534" s="5"/>
      <c r="C534" s="5"/>
      <c r="D534" s="5"/>
      <c r="E534" s="5"/>
      <c r="F534" s="5"/>
      <c r="G534" s="5"/>
      <c r="H534" s="5"/>
      <c r="I534" s="5"/>
      <c r="J534" s="5"/>
    </row>
    <row r="535" spans="2:10" x14ac:dyDescent="0.25">
      <c r="B535" s="5"/>
      <c r="C535" s="5"/>
      <c r="D535" s="5"/>
      <c r="E535" s="5"/>
      <c r="F535" s="5"/>
      <c r="G535" s="5"/>
      <c r="H535" s="5"/>
      <c r="I535" s="5"/>
      <c r="J535" s="5"/>
    </row>
    <row r="536" spans="2:10" x14ac:dyDescent="0.25">
      <c r="B536" s="5"/>
      <c r="C536" s="5"/>
      <c r="D536" s="5"/>
      <c r="E536" s="5"/>
      <c r="F536" s="5"/>
      <c r="G536" s="5"/>
      <c r="H536" s="5"/>
      <c r="I536" s="5"/>
      <c r="J536" s="5"/>
    </row>
    <row r="537" spans="2:10" x14ac:dyDescent="0.25">
      <c r="B537" s="5"/>
      <c r="C537" s="5"/>
      <c r="D537" s="5"/>
      <c r="E537" s="5"/>
      <c r="F537" s="5"/>
      <c r="G537" s="5"/>
      <c r="H537" s="5"/>
      <c r="I537" s="5"/>
      <c r="J537" s="5"/>
    </row>
    <row r="538" spans="2:10" x14ac:dyDescent="0.25">
      <c r="B538" s="5"/>
      <c r="C538" s="5"/>
      <c r="D538" s="5"/>
      <c r="E538" s="5"/>
      <c r="F538" s="5"/>
      <c r="G538" s="5"/>
      <c r="H538" s="5"/>
      <c r="I538" s="5"/>
      <c r="J538" s="5"/>
    </row>
    <row r="539" spans="2:10" x14ac:dyDescent="0.25">
      <c r="B539" s="5"/>
      <c r="C539" s="5"/>
      <c r="D539" s="5"/>
      <c r="E539" s="5"/>
      <c r="F539" s="5"/>
      <c r="G539" s="5"/>
      <c r="H539" s="5"/>
      <c r="I539" s="5"/>
      <c r="J539" s="5"/>
    </row>
    <row r="540" spans="2:10" x14ac:dyDescent="0.25">
      <c r="B540" s="5"/>
      <c r="C540" s="5"/>
      <c r="D540" s="5"/>
      <c r="E540" s="5"/>
      <c r="F540" s="5"/>
      <c r="G540" s="5"/>
      <c r="H540" s="5"/>
      <c r="I540" s="5"/>
      <c r="J540" s="5"/>
    </row>
    <row r="541" spans="2:10" x14ac:dyDescent="0.25">
      <c r="B541" s="5"/>
      <c r="C541" s="5"/>
      <c r="D541" s="5"/>
      <c r="E541" s="5"/>
      <c r="F541" s="5"/>
      <c r="G541" s="5"/>
      <c r="H541" s="5"/>
      <c r="I541" s="5"/>
      <c r="J541" s="5"/>
    </row>
    <row r="542" spans="2:10" x14ac:dyDescent="0.25">
      <c r="B542" s="5"/>
      <c r="C542" s="5"/>
      <c r="D542" s="5"/>
      <c r="E542" s="5"/>
      <c r="F542" s="5"/>
      <c r="G542" s="5"/>
      <c r="H542" s="5"/>
      <c r="I542" s="5"/>
      <c r="J542" s="5"/>
    </row>
    <row r="543" spans="2:10" x14ac:dyDescent="0.25">
      <c r="B543" s="5"/>
      <c r="C543" s="5"/>
      <c r="D543" s="5"/>
      <c r="E543" s="5"/>
      <c r="F543" s="5"/>
      <c r="G543" s="5"/>
      <c r="H543" s="5"/>
      <c r="I543" s="5"/>
      <c r="J543" s="5"/>
    </row>
    <row r="544" spans="2:10" x14ac:dyDescent="0.25">
      <c r="B544" s="5"/>
      <c r="C544" s="5"/>
      <c r="D544" s="5"/>
      <c r="E544" s="5"/>
      <c r="F544" s="5"/>
      <c r="G544" s="5"/>
      <c r="H544" s="5"/>
      <c r="I544" s="5"/>
      <c r="J544" s="5"/>
    </row>
    <row r="545" spans="2:10" x14ac:dyDescent="0.25">
      <c r="B545" s="5"/>
      <c r="C545" s="5"/>
      <c r="D545" s="5"/>
      <c r="E545" s="5"/>
      <c r="F545" s="5"/>
      <c r="G545" s="5"/>
      <c r="H545" s="5"/>
      <c r="I545" s="5"/>
      <c r="J545" s="5"/>
    </row>
    <row r="546" spans="2:10" x14ac:dyDescent="0.25">
      <c r="B546" s="5"/>
      <c r="C546" s="5"/>
      <c r="D546" s="5"/>
      <c r="E546" s="5"/>
      <c r="F546" s="5"/>
      <c r="G546" s="5"/>
      <c r="H546" s="5"/>
      <c r="I546" s="5"/>
      <c r="J546" s="5"/>
    </row>
    <row r="547" spans="2:10" x14ac:dyDescent="0.25">
      <c r="B547" s="5"/>
      <c r="C547" s="5"/>
      <c r="D547" s="5"/>
      <c r="E547" s="5"/>
      <c r="F547" s="5"/>
      <c r="G547" s="5"/>
      <c r="H547" s="5"/>
      <c r="I547" s="5"/>
      <c r="J547" s="5"/>
    </row>
    <row r="548" spans="2:10" x14ac:dyDescent="0.25">
      <c r="B548" s="5"/>
      <c r="C548" s="5"/>
      <c r="D548" s="5"/>
      <c r="E548" s="5"/>
      <c r="F548" s="5"/>
      <c r="G548" s="5"/>
      <c r="H548" s="5"/>
      <c r="I548" s="5"/>
      <c r="J548" s="5"/>
    </row>
    <row r="549" spans="2:10" x14ac:dyDescent="0.25">
      <c r="B549" s="5"/>
      <c r="C549" s="5"/>
      <c r="D549" s="5"/>
      <c r="E549" s="5"/>
      <c r="F549" s="5"/>
      <c r="G549" s="5"/>
      <c r="H549" s="5"/>
      <c r="I549" s="5"/>
      <c r="J549" s="5"/>
    </row>
    <row r="550" spans="2:10" x14ac:dyDescent="0.25">
      <c r="B550" s="5"/>
      <c r="C550" s="5"/>
      <c r="D550" s="5"/>
      <c r="E550" s="5"/>
      <c r="F550" s="5"/>
      <c r="G550" s="5"/>
      <c r="H550" s="5"/>
      <c r="I550" s="5"/>
      <c r="J550" s="5"/>
    </row>
    <row r="551" spans="2:10" x14ac:dyDescent="0.25">
      <c r="B551" s="5"/>
      <c r="C551" s="5"/>
      <c r="D551" s="5"/>
      <c r="E551" s="5"/>
      <c r="F551" s="5"/>
      <c r="G551" s="5"/>
      <c r="H551" s="5"/>
      <c r="I551" s="5"/>
      <c r="J551" s="5"/>
    </row>
    <row r="552" spans="2:10" x14ac:dyDescent="0.25">
      <c r="B552" s="5"/>
      <c r="C552" s="5"/>
      <c r="D552" s="5"/>
      <c r="E552" s="5"/>
      <c r="F552" s="5"/>
      <c r="G552" s="5"/>
      <c r="H552" s="5"/>
      <c r="I552" s="5"/>
      <c r="J552" s="5"/>
    </row>
    <row r="553" spans="2:10" x14ac:dyDescent="0.25">
      <c r="B553" s="5"/>
      <c r="C553" s="5"/>
      <c r="D553" s="5"/>
      <c r="E553" s="5"/>
      <c r="F553" s="5"/>
      <c r="G553" s="5"/>
      <c r="H553" s="5"/>
      <c r="I553" s="5"/>
      <c r="J553" s="5"/>
    </row>
    <row r="554" spans="2:10" x14ac:dyDescent="0.25">
      <c r="B554" s="5"/>
      <c r="C554" s="5"/>
      <c r="D554" s="5"/>
      <c r="E554" s="5"/>
      <c r="F554" s="5"/>
      <c r="G554" s="5"/>
      <c r="H554" s="5"/>
      <c r="I554" s="5"/>
      <c r="J554" s="5"/>
    </row>
    <row r="555" spans="2:10" x14ac:dyDescent="0.25">
      <c r="B555" s="5"/>
      <c r="C555" s="5"/>
      <c r="D555" s="5"/>
      <c r="E555" s="5"/>
      <c r="F555" s="5"/>
      <c r="G555" s="5"/>
      <c r="H555" s="5"/>
      <c r="I555" s="5"/>
      <c r="J555" s="5"/>
    </row>
    <row r="556" spans="2:10" x14ac:dyDescent="0.25">
      <c r="B556" s="5"/>
      <c r="C556" s="5"/>
      <c r="D556" s="5"/>
      <c r="E556" s="5"/>
      <c r="F556" s="5"/>
      <c r="G556" s="5"/>
      <c r="H556" s="5"/>
      <c r="I556" s="5"/>
      <c r="J556" s="5"/>
    </row>
    <row r="557" spans="2:10" x14ac:dyDescent="0.25">
      <c r="B557" s="5"/>
      <c r="C557" s="5"/>
      <c r="D557" s="5"/>
      <c r="E557" s="5"/>
      <c r="F557" s="5"/>
      <c r="G557" s="5"/>
      <c r="H557" s="5"/>
      <c r="I557" s="5"/>
      <c r="J557" s="5"/>
    </row>
    <row r="558" spans="2:10" x14ac:dyDescent="0.25">
      <c r="B558" s="5"/>
      <c r="C558" s="5"/>
      <c r="D558" s="5"/>
      <c r="E558" s="5"/>
      <c r="F558" s="5"/>
      <c r="G558" s="5"/>
      <c r="H558" s="5"/>
      <c r="I558" s="5"/>
      <c r="J558" s="5"/>
    </row>
    <row r="559" spans="2:10" x14ac:dyDescent="0.25">
      <c r="B559" s="5"/>
      <c r="C559" s="5"/>
      <c r="D559" s="5"/>
      <c r="E559" s="5"/>
      <c r="F559" s="5"/>
      <c r="G559" s="5"/>
      <c r="H559" s="5"/>
      <c r="I559" s="5"/>
      <c r="J559" s="5"/>
    </row>
    <row r="560" spans="2:10" x14ac:dyDescent="0.25">
      <c r="B560" s="5"/>
      <c r="C560" s="5"/>
      <c r="D560" s="5"/>
      <c r="E560" s="5"/>
      <c r="F560" s="5"/>
      <c r="G560" s="5"/>
      <c r="H560" s="5"/>
      <c r="I560" s="5"/>
      <c r="J560" s="5"/>
    </row>
    <row r="561" spans="2:10" x14ac:dyDescent="0.25">
      <c r="B561" s="5"/>
      <c r="C561" s="5"/>
      <c r="D561" s="5"/>
      <c r="E561" s="5"/>
      <c r="F561" s="5"/>
      <c r="G561" s="5"/>
      <c r="H561" s="5"/>
      <c r="I561" s="5"/>
      <c r="J561" s="5"/>
    </row>
    <row r="562" spans="2:10" x14ac:dyDescent="0.25">
      <c r="B562" s="5"/>
      <c r="C562" s="5"/>
      <c r="D562" s="5"/>
      <c r="E562" s="5"/>
      <c r="F562" s="5"/>
      <c r="G562" s="5"/>
      <c r="H562" s="5"/>
      <c r="I562" s="5"/>
      <c r="J562" s="5"/>
    </row>
    <row r="563" spans="2:10" x14ac:dyDescent="0.25">
      <c r="B563" s="5"/>
      <c r="C563" s="5"/>
      <c r="D563" s="5"/>
      <c r="E563" s="5"/>
      <c r="F563" s="5"/>
      <c r="G563" s="5"/>
      <c r="H563" s="5"/>
      <c r="I563" s="5"/>
      <c r="J563" s="5"/>
    </row>
    <row r="564" spans="2:10" x14ac:dyDescent="0.25">
      <c r="B564" s="5"/>
      <c r="C564" s="5"/>
      <c r="D564" s="5"/>
      <c r="E564" s="5"/>
      <c r="F564" s="5"/>
      <c r="G564" s="5"/>
      <c r="H564" s="5"/>
      <c r="I564" s="5"/>
      <c r="J564" s="5"/>
    </row>
    <row r="565" spans="2:10" x14ac:dyDescent="0.25">
      <c r="B565" s="5"/>
      <c r="C565" s="5"/>
      <c r="D565" s="5"/>
      <c r="E565" s="5"/>
      <c r="F565" s="5"/>
      <c r="G565" s="5"/>
      <c r="H565" s="5"/>
      <c r="I565" s="5"/>
      <c r="J565" s="5"/>
    </row>
    <row r="566" spans="2:10" x14ac:dyDescent="0.25">
      <c r="B566" s="5"/>
      <c r="C566" s="5"/>
      <c r="D566" s="5"/>
      <c r="E566" s="5"/>
      <c r="F566" s="5"/>
      <c r="G566" s="5"/>
      <c r="H566" s="5"/>
      <c r="I566" s="5"/>
      <c r="J566" s="5"/>
    </row>
    <row r="567" spans="2:10" x14ac:dyDescent="0.25">
      <c r="B567" s="5"/>
      <c r="C567" s="5"/>
      <c r="D567" s="5"/>
      <c r="E567" s="5"/>
      <c r="F567" s="5"/>
      <c r="G567" s="5"/>
      <c r="H567" s="5"/>
      <c r="I567" s="5"/>
      <c r="J567" s="5"/>
    </row>
    <row r="568" spans="2:10" x14ac:dyDescent="0.25">
      <c r="B568" s="5"/>
      <c r="C568" s="5"/>
      <c r="D568" s="5"/>
      <c r="E568" s="5"/>
      <c r="F568" s="5"/>
      <c r="G568" s="5"/>
      <c r="H568" s="5"/>
      <c r="I568" s="5"/>
      <c r="J568" s="5"/>
    </row>
    <row r="569" spans="2:10" x14ac:dyDescent="0.25">
      <c r="B569" s="5"/>
      <c r="C569" s="5"/>
      <c r="D569" s="5"/>
      <c r="E569" s="5"/>
      <c r="F569" s="5"/>
      <c r="G569" s="5"/>
      <c r="H569" s="5"/>
      <c r="I569" s="5"/>
      <c r="J569" s="5"/>
    </row>
    <row r="570" spans="2:10" x14ac:dyDescent="0.25">
      <c r="B570" s="5"/>
      <c r="C570" s="5"/>
      <c r="D570" s="5"/>
      <c r="E570" s="5"/>
      <c r="F570" s="5"/>
      <c r="G570" s="5"/>
      <c r="H570" s="5"/>
      <c r="I570" s="5"/>
      <c r="J570" s="5"/>
    </row>
    <row r="571" spans="2:10" x14ac:dyDescent="0.25">
      <c r="B571" s="5"/>
      <c r="C571" s="5"/>
      <c r="D571" s="5"/>
      <c r="E571" s="5"/>
      <c r="F571" s="5"/>
      <c r="G571" s="5"/>
      <c r="H571" s="5"/>
      <c r="I571" s="5"/>
      <c r="J571" s="5"/>
    </row>
    <row r="572" spans="2:10" x14ac:dyDescent="0.25">
      <c r="B572" s="5"/>
      <c r="C572" s="5"/>
      <c r="D572" s="5"/>
      <c r="E572" s="5"/>
      <c r="F572" s="5"/>
      <c r="G572" s="5"/>
      <c r="H572" s="5"/>
      <c r="I572" s="5"/>
      <c r="J572" s="5"/>
    </row>
    <row r="573" spans="2:10" x14ac:dyDescent="0.25">
      <c r="B573" s="5"/>
      <c r="C573" s="5"/>
      <c r="D573" s="5"/>
      <c r="E573" s="5"/>
      <c r="F573" s="5"/>
      <c r="G573" s="5"/>
      <c r="H573" s="5"/>
      <c r="I573" s="5"/>
      <c r="J573" s="5"/>
    </row>
    <row r="574" spans="2:10" x14ac:dyDescent="0.25">
      <c r="B574" s="5"/>
      <c r="C574" s="5"/>
      <c r="D574" s="5"/>
      <c r="E574" s="5"/>
      <c r="F574" s="5"/>
      <c r="G574" s="5"/>
      <c r="H574" s="5"/>
      <c r="I574" s="5"/>
      <c r="J574" s="5"/>
    </row>
    <row r="575" spans="2:10" x14ac:dyDescent="0.25">
      <c r="B575" s="5"/>
      <c r="C575" s="5"/>
      <c r="D575" s="5"/>
      <c r="E575" s="5"/>
      <c r="F575" s="5"/>
      <c r="G575" s="5"/>
      <c r="H575" s="5"/>
      <c r="I575" s="5"/>
      <c r="J575" s="5"/>
    </row>
    <row r="576" spans="2:10" x14ac:dyDescent="0.25">
      <c r="B576" s="5"/>
      <c r="C576" s="5"/>
      <c r="D576" s="5"/>
      <c r="E576" s="5"/>
      <c r="F576" s="5"/>
      <c r="G576" s="5"/>
      <c r="H576" s="5"/>
      <c r="I576" s="5"/>
      <c r="J576" s="5"/>
    </row>
    <row r="577" spans="2:10" x14ac:dyDescent="0.25">
      <c r="B577" s="5"/>
      <c r="C577" s="5"/>
      <c r="D577" s="5"/>
      <c r="E577" s="5"/>
      <c r="F577" s="5"/>
      <c r="G577" s="5"/>
      <c r="H577" s="5"/>
      <c r="I577" s="5"/>
      <c r="J577" s="5"/>
    </row>
    <row r="578" spans="2:10" x14ac:dyDescent="0.25">
      <c r="B578" s="5"/>
      <c r="C578" s="5"/>
      <c r="D578" s="5"/>
      <c r="E578" s="5"/>
      <c r="F578" s="5"/>
      <c r="G578" s="5"/>
      <c r="H578" s="5"/>
      <c r="I578" s="5"/>
      <c r="J578" s="5"/>
    </row>
    <row r="579" spans="2:10" x14ac:dyDescent="0.25">
      <c r="B579" s="5"/>
      <c r="C579" s="5"/>
      <c r="D579" s="5"/>
      <c r="E579" s="5"/>
      <c r="F579" s="5"/>
      <c r="G579" s="5"/>
      <c r="H579" s="5"/>
      <c r="I579" s="5"/>
      <c r="J579" s="5"/>
    </row>
    <row r="580" spans="2:10" x14ac:dyDescent="0.25">
      <c r="B580" s="5"/>
      <c r="C580" s="5"/>
      <c r="D580" s="5"/>
      <c r="E580" s="5"/>
      <c r="F580" s="5"/>
      <c r="G580" s="5"/>
      <c r="H580" s="5"/>
      <c r="I580" s="5"/>
      <c r="J580" s="5"/>
    </row>
    <row r="581" spans="2:10" x14ac:dyDescent="0.25">
      <c r="B581" s="5"/>
      <c r="C581" s="5"/>
      <c r="D581" s="5"/>
      <c r="E581" s="5"/>
      <c r="F581" s="5"/>
      <c r="G581" s="5"/>
      <c r="H581" s="5"/>
      <c r="I581" s="5"/>
      <c r="J581" s="5"/>
    </row>
    <row r="582" spans="2:10" x14ac:dyDescent="0.25">
      <c r="B582" s="5"/>
      <c r="C582" s="5"/>
      <c r="D582" s="5"/>
      <c r="E582" s="5"/>
      <c r="F582" s="5"/>
      <c r="G582" s="5"/>
      <c r="H582" s="5"/>
      <c r="I582" s="5"/>
      <c r="J582" s="5"/>
    </row>
    <row r="583" spans="2:10" x14ac:dyDescent="0.25">
      <c r="B583" s="5"/>
      <c r="C583" s="5"/>
      <c r="D583" s="5"/>
      <c r="E583" s="5"/>
      <c r="F583" s="5"/>
      <c r="G583" s="5"/>
      <c r="H583" s="5"/>
      <c r="I583" s="5"/>
      <c r="J583" s="5"/>
    </row>
    <row r="584" spans="2:10" x14ac:dyDescent="0.25">
      <c r="B584" s="5"/>
      <c r="C584" s="5"/>
      <c r="D584" s="5"/>
      <c r="E584" s="5"/>
      <c r="F584" s="5"/>
      <c r="G584" s="5"/>
      <c r="H584" s="5"/>
      <c r="I584" s="5"/>
      <c r="J584" s="5"/>
    </row>
    <row r="585" spans="2:10" x14ac:dyDescent="0.25">
      <c r="B585" s="5"/>
      <c r="C585" s="5"/>
      <c r="D585" s="5"/>
      <c r="E585" s="5"/>
      <c r="F585" s="5"/>
      <c r="G585" s="5"/>
      <c r="H585" s="5"/>
      <c r="I585" s="5"/>
      <c r="J585" s="5"/>
    </row>
    <row r="586" spans="2:10" x14ac:dyDescent="0.25">
      <c r="B586" s="5"/>
      <c r="C586" s="5"/>
      <c r="D586" s="5"/>
      <c r="E586" s="5"/>
      <c r="F586" s="5"/>
      <c r="G586" s="5"/>
      <c r="H586" s="5"/>
      <c r="I586" s="5"/>
      <c r="J586" s="5"/>
    </row>
    <row r="587" spans="2:10" x14ac:dyDescent="0.25">
      <c r="B587" s="5"/>
      <c r="C587" s="5"/>
      <c r="D587" s="5"/>
      <c r="E587" s="5"/>
      <c r="F587" s="5"/>
      <c r="G587" s="5"/>
      <c r="H587" s="5"/>
      <c r="I587" s="5"/>
      <c r="J587" s="5"/>
    </row>
    <row r="588" spans="2:10" x14ac:dyDescent="0.25">
      <c r="B588" s="5"/>
      <c r="C588" s="5"/>
      <c r="D588" s="5"/>
      <c r="E588" s="5"/>
      <c r="F588" s="5"/>
      <c r="G588" s="5"/>
      <c r="H588" s="5"/>
      <c r="I588" s="5"/>
      <c r="J588" s="5"/>
    </row>
  </sheetData>
  <conditionalFormatting sqref="B3">
    <cfRule type="duplicateValues" dxfId="35" priority="1"/>
  </conditionalFormatting>
  <hyperlinks>
    <hyperlink ref="B3" location="SUMMARY!A1" display="Bro Sunday Olaitan Tope" xr:uid="{6C1EDFB3-FC70-4429-8E0C-5DBCE2ED6DA8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B771-579A-4209-A35C-C933E7851BE3}">
  <dimension ref="A1:J290"/>
  <sheetViews>
    <sheetView workbookViewId="0">
      <selection activeCell="B3" sqref="B3"/>
    </sheetView>
  </sheetViews>
  <sheetFormatPr defaultRowHeight="15" x14ac:dyDescent="0.25"/>
  <cols>
    <col min="1" max="1" width="12.140625" customWidth="1"/>
    <col min="3" max="3" width="9.5703125" bestFit="1" customWidth="1"/>
    <col min="4" max="4" width="10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40</v>
      </c>
      <c r="C3" s="5"/>
      <c r="D3" t="s">
        <v>100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10000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</sheetData>
  <conditionalFormatting sqref="B3">
    <cfRule type="duplicateValues" dxfId="34" priority="1"/>
  </conditionalFormatting>
  <hyperlinks>
    <hyperlink ref="B3" location="SUMMARY!A1" display="Sis. G.R. Balogun" xr:uid="{6899BC42-F7F3-4175-B958-DA6BAF9AF473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E5FE-3D38-4D62-814C-5C3324A0B599}">
  <dimension ref="A1:J473"/>
  <sheetViews>
    <sheetView workbookViewId="0">
      <selection activeCell="B3" sqref="B3"/>
    </sheetView>
  </sheetViews>
  <sheetFormatPr defaultRowHeight="15" x14ac:dyDescent="0.25"/>
  <cols>
    <col min="1" max="1" width="12.42578125" customWidth="1"/>
    <col min="3" max="3" width="9.5703125" bestFit="1" customWidth="1"/>
    <col min="4" max="4" width="10.28515625" bestFit="1" customWidth="1"/>
    <col min="6" max="7" width="10.285156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36</v>
      </c>
      <c r="C3" s="5"/>
      <c r="D3" t="s">
        <v>101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/>
      <c r="E8" s="5"/>
      <c r="F8" s="5">
        <v>-5846.12</v>
      </c>
      <c r="G8" s="5">
        <f>+F8</f>
        <v>-5846.12</v>
      </c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  <row r="369" spans="2:10" x14ac:dyDescent="0.25">
      <c r="B369" s="5"/>
      <c r="C369" s="5"/>
      <c r="D369" s="5"/>
      <c r="E369" s="5"/>
      <c r="F369" s="5"/>
      <c r="G369" s="5"/>
      <c r="H369" s="5"/>
      <c r="I369" s="5"/>
      <c r="J369" s="5"/>
    </row>
    <row r="370" spans="2:10" x14ac:dyDescent="0.25">
      <c r="B370" s="5"/>
      <c r="C370" s="5"/>
      <c r="D370" s="5"/>
      <c r="E370" s="5"/>
      <c r="F370" s="5"/>
      <c r="G370" s="5"/>
      <c r="H370" s="5"/>
      <c r="I370" s="5"/>
      <c r="J370" s="5"/>
    </row>
    <row r="371" spans="2:10" x14ac:dyDescent="0.25">
      <c r="B371" s="5"/>
      <c r="C371" s="5"/>
      <c r="D371" s="5"/>
      <c r="E371" s="5"/>
      <c r="F371" s="5"/>
      <c r="G371" s="5"/>
      <c r="H371" s="5"/>
      <c r="I371" s="5"/>
      <c r="J371" s="5"/>
    </row>
    <row r="372" spans="2:10" x14ac:dyDescent="0.25">
      <c r="B372" s="5"/>
      <c r="C372" s="5"/>
      <c r="D372" s="5"/>
      <c r="E372" s="5"/>
      <c r="F372" s="5"/>
      <c r="G372" s="5"/>
      <c r="H372" s="5"/>
      <c r="I372" s="5"/>
      <c r="J372" s="5"/>
    </row>
    <row r="373" spans="2:10" x14ac:dyDescent="0.25">
      <c r="B373" s="5"/>
      <c r="C373" s="5"/>
      <c r="D373" s="5"/>
      <c r="E373" s="5"/>
      <c r="F373" s="5"/>
      <c r="G373" s="5"/>
      <c r="H373" s="5"/>
      <c r="I373" s="5"/>
      <c r="J373" s="5"/>
    </row>
    <row r="374" spans="2:10" x14ac:dyDescent="0.25">
      <c r="B374" s="5"/>
      <c r="C374" s="5"/>
      <c r="D374" s="5"/>
      <c r="E374" s="5"/>
      <c r="F374" s="5"/>
      <c r="G374" s="5"/>
      <c r="H374" s="5"/>
      <c r="I374" s="5"/>
      <c r="J374" s="5"/>
    </row>
    <row r="375" spans="2:10" x14ac:dyDescent="0.25">
      <c r="B375" s="5"/>
      <c r="C375" s="5"/>
      <c r="D375" s="5"/>
      <c r="E375" s="5"/>
      <c r="F375" s="5"/>
      <c r="G375" s="5"/>
      <c r="H375" s="5"/>
      <c r="I375" s="5"/>
      <c r="J375" s="5"/>
    </row>
    <row r="376" spans="2:10" x14ac:dyDescent="0.25">
      <c r="B376" s="5"/>
      <c r="C376" s="5"/>
      <c r="D376" s="5"/>
      <c r="E376" s="5"/>
      <c r="F376" s="5"/>
      <c r="G376" s="5"/>
      <c r="H376" s="5"/>
      <c r="I376" s="5"/>
      <c r="J376" s="5"/>
    </row>
    <row r="377" spans="2:10" x14ac:dyDescent="0.25">
      <c r="B377" s="5"/>
      <c r="C377" s="5"/>
      <c r="D377" s="5"/>
      <c r="E377" s="5"/>
      <c r="F377" s="5"/>
      <c r="G377" s="5"/>
      <c r="H377" s="5"/>
      <c r="I377" s="5"/>
      <c r="J377" s="5"/>
    </row>
    <row r="378" spans="2:10" x14ac:dyDescent="0.25">
      <c r="B378" s="5"/>
      <c r="C378" s="5"/>
      <c r="D378" s="5"/>
      <c r="E378" s="5"/>
      <c r="F378" s="5"/>
      <c r="G378" s="5"/>
      <c r="H378" s="5"/>
      <c r="I378" s="5"/>
      <c r="J378" s="5"/>
    </row>
    <row r="379" spans="2:10" x14ac:dyDescent="0.25">
      <c r="B379" s="5"/>
      <c r="C379" s="5"/>
      <c r="D379" s="5"/>
      <c r="E379" s="5"/>
      <c r="F379" s="5"/>
      <c r="G379" s="5"/>
      <c r="H379" s="5"/>
      <c r="I379" s="5"/>
      <c r="J379" s="5"/>
    </row>
    <row r="380" spans="2:10" x14ac:dyDescent="0.25">
      <c r="B380" s="5"/>
      <c r="C380" s="5"/>
      <c r="D380" s="5"/>
      <c r="E380" s="5"/>
      <c r="F380" s="5"/>
      <c r="G380" s="5"/>
      <c r="H380" s="5"/>
      <c r="I380" s="5"/>
      <c r="J380" s="5"/>
    </row>
    <row r="381" spans="2:10" x14ac:dyDescent="0.25">
      <c r="B381" s="5"/>
      <c r="C381" s="5"/>
      <c r="D381" s="5"/>
      <c r="E381" s="5"/>
      <c r="F381" s="5"/>
      <c r="G381" s="5"/>
      <c r="H381" s="5"/>
      <c r="I381" s="5"/>
      <c r="J381" s="5"/>
    </row>
    <row r="382" spans="2:10" x14ac:dyDescent="0.25">
      <c r="B382" s="5"/>
      <c r="C382" s="5"/>
      <c r="D382" s="5"/>
      <c r="E382" s="5"/>
      <c r="F382" s="5"/>
      <c r="G382" s="5"/>
      <c r="H382" s="5"/>
      <c r="I382" s="5"/>
      <c r="J382" s="5"/>
    </row>
    <row r="383" spans="2:10" x14ac:dyDescent="0.25">
      <c r="B383" s="5"/>
      <c r="C383" s="5"/>
      <c r="D383" s="5"/>
      <c r="E383" s="5"/>
      <c r="F383" s="5"/>
      <c r="G383" s="5"/>
      <c r="H383" s="5"/>
      <c r="I383" s="5"/>
      <c r="J383" s="5"/>
    </row>
    <row r="384" spans="2:10" x14ac:dyDescent="0.25">
      <c r="B384" s="5"/>
      <c r="C384" s="5"/>
      <c r="D384" s="5"/>
      <c r="E384" s="5"/>
      <c r="F384" s="5"/>
      <c r="G384" s="5"/>
      <c r="H384" s="5"/>
      <c r="I384" s="5"/>
      <c r="J384" s="5"/>
    </row>
    <row r="385" spans="2:10" x14ac:dyDescent="0.25">
      <c r="B385" s="5"/>
      <c r="C385" s="5"/>
      <c r="D385" s="5"/>
      <c r="E385" s="5"/>
      <c r="F385" s="5"/>
      <c r="G385" s="5"/>
      <c r="H385" s="5"/>
      <c r="I385" s="5"/>
      <c r="J385" s="5"/>
    </row>
    <row r="386" spans="2:10" x14ac:dyDescent="0.25">
      <c r="B386" s="5"/>
      <c r="C386" s="5"/>
      <c r="D386" s="5"/>
      <c r="E386" s="5"/>
      <c r="F386" s="5"/>
      <c r="G386" s="5"/>
      <c r="H386" s="5"/>
      <c r="I386" s="5"/>
      <c r="J386" s="5"/>
    </row>
    <row r="387" spans="2:10" x14ac:dyDescent="0.25">
      <c r="B387" s="5"/>
      <c r="C387" s="5"/>
      <c r="D387" s="5"/>
      <c r="E387" s="5"/>
      <c r="F387" s="5"/>
      <c r="G387" s="5"/>
      <c r="H387" s="5"/>
      <c r="I387" s="5"/>
      <c r="J387" s="5"/>
    </row>
    <row r="388" spans="2:10" x14ac:dyDescent="0.25">
      <c r="B388" s="5"/>
      <c r="C388" s="5"/>
      <c r="D388" s="5"/>
      <c r="E388" s="5"/>
      <c r="F388" s="5"/>
      <c r="G388" s="5"/>
      <c r="H388" s="5"/>
      <c r="I388" s="5"/>
      <c r="J388" s="5"/>
    </row>
    <row r="389" spans="2:10" x14ac:dyDescent="0.25">
      <c r="B389" s="5"/>
      <c r="C389" s="5"/>
      <c r="D389" s="5"/>
      <c r="E389" s="5"/>
      <c r="F389" s="5"/>
      <c r="G389" s="5"/>
      <c r="H389" s="5"/>
      <c r="I389" s="5"/>
      <c r="J389" s="5"/>
    </row>
    <row r="390" spans="2:10" x14ac:dyDescent="0.25">
      <c r="B390" s="5"/>
      <c r="C390" s="5"/>
      <c r="D390" s="5"/>
      <c r="E390" s="5"/>
      <c r="F390" s="5"/>
      <c r="G390" s="5"/>
      <c r="H390" s="5"/>
      <c r="I390" s="5"/>
      <c r="J390" s="5"/>
    </row>
    <row r="391" spans="2:10" x14ac:dyDescent="0.25">
      <c r="B391" s="5"/>
      <c r="C391" s="5"/>
      <c r="D391" s="5"/>
      <c r="E391" s="5"/>
      <c r="F391" s="5"/>
      <c r="G391" s="5"/>
      <c r="H391" s="5"/>
      <c r="I391" s="5"/>
      <c r="J391" s="5"/>
    </row>
    <row r="392" spans="2:10" x14ac:dyDescent="0.25">
      <c r="B392" s="5"/>
      <c r="C392" s="5"/>
      <c r="D392" s="5"/>
      <c r="E392" s="5"/>
      <c r="F392" s="5"/>
      <c r="G392" s="5"/>
      <c r="H392" s="5"/>
      <c r="I392" s="5"/>
      <c r="J392" s="5"/>
    </row>
    <row r="393" spans="2:10" x14ac:dyDescent="0.25">
      <c r="B393" s="5"/>
      <c r="C393" s="5"/>
      <c r="D393" s="5"/>
      <c r="E393" s="5"/>
      <c r="F393" s="5"/>
      <c r="G393" s="5"/>
      <c r="H393" s="5"/>
      <c r="I393" s="5"/>
      <c r="J393" s="5"/>
    </row>
    <row r="394" spans="2:10" x14ac:dyDescent="0.25">
      <c r="B394" s="5"/>
      <c r="C394" s="5"/>
      <c r="D394" s="5"/>
      <c r="E394" s="5"/>
      <c r="F394" s="5"/>
      <c r="G394" s="5"/>
      <c r="H394" s="5"/>
      <c r="I394" s="5"/>
      <c r="J394" s="5"/>
    </row>
    <row r="395" spans="2:10" x14ac:dyDescent="0.25">
      <c r="B395" s="5"/>
      <c r="C395" s="5"/>
      <c r="D395" s="5"/>
      <c r="E395" s="5"/>
      <c r="F395" s="5"/>
      <c r="G395" s="5"/>
      <c r="H395" s="5"/>
      <c r="I395" s="5"/>
      <c r="J395" s="5"/>
    </row>
    <row r="396" spans="2:10" x14ac:dyDescent="0.25">
      <c r="B396" s="5"/>
      <c r="C396" s="5"/>
      <c r="D396" s="5"/>
      <c r="E396" s="5"/>
      <c r="F396" s="5"/>
      <c r="G396" s="5"/>
      <c r="H396" s="5"/>
      <c r="I396" s="5"/>
      <c r="J396" s="5"/>
    </row>
    <row r="397" spans="2:10" x14ac:dyDescent="0.25">
      <c r="B397" s="5"/>
      <c r="C397" s="5"/>
      <c r="D397" s="5"/>
      <c r="E397" s="5"/>
      <c r="F397" s="5"/>
      <c r="G397" s="5"/>
      <c r="H397" s="5"/>
      <c r="I397" s="5"/>
      <c r="J397" s="5"/>
    </row>
    <row r="398" spans="2:10" x14ac:dyDescent="0.25">
      <c r="B398" s="5"/>
      <c r="C398" s="5"/>
      <c r="D398" s="5"/>
      <c r="E398" s="5"/>
      <c r="F398" s="5"/>
      <c r="G398" s="5"/>
      <c r="H398" s="5"/>
      <c r="I398" s="5"/>
      <c r="J398" s="5"/>
    </row>
    <row r="399" spans="2:10" x14ac:dyDescent="0.25">
      <c r="B399" s="5"/>
      <c r="C399" s="5"/>
      <c r="D399" s="5"/>
      <c r="E399" s="5"/>
      <c r="F399" s="5"/>
      <c r="G399" s="5"/>
      <c r="H399" s="5"/>
      <c r="I399" s="5"/>
      <c r="J399" s="5"/>
    </row>
    <row r="400" spans="2:10" x14ac:dyDescent="0.25">
      <c r="B400" s="5"/>
      <c r="C400" s="5"/>
      <c r="D400" s="5"/>
      <c r="E400" s="5"/>
      <c r="F400" s="5"/>
      <c r="G400" s="5"/>
      <c r="H400" s="5"/>
      <c r="I400" s="5"/>
      <c r="J400" s="5"/>
    </row>
    <row r="401" spans="2:10" x14ac:dyDescent="0.25">
      <c r="B401" s="5"/>
      <c r="C401" s="5"/>
      <c r="D401" s="5"/>
      <c r="E401" s="5"/>
      <c r="F401" s="5"/>
      <c r="G401" s="5"/>
      <c r="H401" s="5"/>
      <c r="I401" s="5"/>
      <c r="J401" s="5"/>
    </row>
    <row r="402" spans="2:10" x14ac:dyDescent="0.25">
      <c r="B402" s="5"/>
      <c r="C402" s="5"/>
      <c r="D402" s="5"/>
      <c r="E402" s="5"/>
      <c r="F402" s="5"/>
      <c r="G402" s="5"/>
      <c r="H402" s="5"/>
      <c r="I402" s="5"/>
      <c r="J402" s="5"/>
    </row>
    <row r="403" spans="2:10" x14ac:dyDescent="0.25">
      <c r="B403" s="5"/>
      <c r="C403" s="5"/>
      <c r="D403" s="5"/>
      <c r="E403" s="5"/>
      <c r="F403" s="5"/>
      <c r="G403" s="5"/>
      <c r="H403" s="5"/>
      <c r="I403" s="5"/>
      <c r="J403" s="5"/>
    </row>
    <row r="404" spans="2:10" x14ac:dyDescent="0.25">
      <c r="B404" s="5"/>
      <c r="C404" s="5"/>
      <c r="D404" s="5"/>
      <c r="E404" s="5"/>
      <c r="F404" s="5"/>
      <c r="G404" s="5"/>
      <c r="H404" s="5"/>
      <c r="I404" s="5"/>
      <c r="J404" s="5"/>
    </row>
    <row r="405" spans="2:10" x14ac:dyDescent="0.25">
      <c r="B405" s="5"/>
      <c r="C405" s="5"/>
      <c r="D405" s="5"/>
      <c r="E405" s="5"/>
      <c r="F405" s="5"/>
      <c r="G405" s="5"/>
      <c r="H405" s="5"/>
      <c r="I405" s="5"/>
      <c r="J405" s="5"/>
    </row>
    <row r="406" spans="2:10" x14ac:dyDescent="0.25">
      <c r="B406" s="5"/>
      <c r="C406" s="5"/>
      <c r="D406" s="5"/>
      <c r="E406" s="5"/>
      <c r="F406" s="5"/>
      <c r="G406" s="5"/>
      <c r="H406" s="5"/>
      <c r="I406" s="5"/>
      <c r="J406" s="5"/>
    </row>
    <row r="407" spans="2:10" x14ac:dyDescent="0.25">
      <c r="B407" s="5"/>
      <c r="C407" s="5"/>
      <c r="D407" s="5"/>
      <c r="E407" s="5"/>
      <c r="F407" s="5"/>
      <c r="G407" s="5"/>
      <c r="H407" s="5"/>
      <c r="I407" s="5"/>
      <c r="J407" s="5"/>
    </row>
    <row r="408" spans="2:10" x14ac:dyDescent="0.25">
      <c r="B408" s="5"/>
      <c r="C408" s="5"/>
      <c r="D408" s="5"/>
      <c r="E408" s="5"/>
      <c r="F408" s="5"/>
      <c r="G408" s="5"/>
      <c r="H408" s="5"/>
      <c r="I408" s="5"/>
      <c r="J408" s="5"/>
    </row>
    <row r="409" spans="2:10" x14ac:dyDescent="0.25">
      <c r="B409" s="5"/>
      <c r="C409" s="5"/>
      <c r="D409" s="5"/>
      <c r="E409" s="5"/>
      <c r="F409" s="5"/>
      <c r="G409" s="5"/>
      <c r="H409" s="5"/>
      <c r="I409" s="5"/>
      <c r="J409" s="5"/>
    </row>
    <row r="410" spans="2:10" x14ac:dyDescent="0.25">
      <c r="B410" s="5"/>
      <c r="C410" s="5"/>
      <c r="D410" s="5"/>
      <c r="E410" s="5"/>
      <c r="F410" s="5"/>
      <c r="G410" s="5"/>
      <c r="H410" s="5"/>
      <c r="I410" s="5"/>
      <c r="J410" s="5"/>
    </row>
    <row r="411" spans="2:10" x14ac:dyDescent="0.25">
      <c r="B411" s="5"/>
      <c r="C411" s="5"/>
      <c r="D411" s="5"/>
      <c r="E411" s="5"/>
      <c r="F411" s="5"/>
      <c r="G411" s="5"/>
      <c r="H411" s="5"/>
      <c r="I411" s="5"/>
      <c r="J411" s="5"/>
    </row>
    <row r="412" spans="2:10" x14ac:dyDescent="0.25">
      <c r="B412" s="5"/>
      <c r="C412" s="5"/>
      <c r="D412" s="5"/>
      <c r="E412" s="5"/>
      <c r="F412" s="5"/>
      <c r="G412" s="5"/>
      <c r="H412" s="5"/>
      <c r="I412" s="5"/>
      <c r="J412" s="5"/>
    </row>
    <row r="413" spans="2:10" x14ac:dyDescent="0.25">
      <c r="B413" s="5"/>
      <c r="C413" s="5"/>
      <c r="D413" s="5"/>
      <c r="E413" s="5"/>
      <c r="F413" s="5"/>
      <c r="G413" s="5"/>
      <c r="H413" s="5"/>
      <c r="I413" s="5"/>
      <c r="J413" s="5"/>
    </row>
    <row r="414" spans="2:10" x14ac:dyDescent="0.25">
      <c r="B414" s="5"/>
      <c r="C414" s="5"/>
      <c r="D414" s="5"/>
      <c r="E414" s="5"/>
      <c r="F414" s="5"/>
      <c r="G414" s="5"/>
      <c r="H414" s="5"/>
      <c r="I414" s="5"/>
      <c r="J414" s="5"/>
    </row>
    <row r="415" spans="2:10" x14ac:dyDescent="0.25">
      <c r="B415" s="5"/>
      <c r="C415" s="5"/>
      <c r="D415" s="5"/>
      <c r="E415" s="5"/>
      <c r="F415" s="5"/>
      <c r="G415" s="5"/>
      <c r="H415" s="5"/>
      <c r="I415" s="5"/>
      <c r="J415" s="5"/>
    </row>
    <row r="416" spans="2:10" x14ac:dyDescent="0.25">
      <c r="B416" s="5"/>
      <c r="C416" s="5"/>
      <c r="D416" s="5"/>
      <c r="E416" s="5"/>
      <c r="F416" s="5"/>
      <c r="G416" s="5"/>
      <c r="H416" s="5"/>
      <c r="I416" s="5"/>
      <c r="J416" s="5"/>
    </row>
    <row r="417" spans="2:10" x14ac:dyDescent="0.25">
      <c r="B417" s="5"/>
      <c r="C417" s="5"/>
      <c r="D417" s="5"/>
      <c r="E417" s="5"/>
      <c r="F417" s="5"/>
      <c r="G417" s="5"/>
      <c r="H417" s="5"/>
      <c r="I417" s="5"/>
      <c r="J417" s="5"/>
    </row>
    <row r="418" spans="2:10" x14ac:dyDescent="0.25">
      <c r="B418" s="5"/>
      <c r="C418" s="5"/>
      <c r="D418" s="5"/>
      <c r="E418" s="5"/>
      <c r="F418" s="5"/>
      <c r="G418" s="5"/>
      <c r="H418" s="5"/>
      <c r="I418" s="5"/>
      <c r="J418" s="5"/>
    </row>
    <row r="419" spans="2:10" x14ac:dyDescent="0.25">
      <c r="B419" s="5"/>
      <c r="C419" s="5"/>
      <c r="D419" s="5"/>
      <c r="E419" s="5"/>
      <c r="F419" s="5"/>
      <c r="G419" s="5"/>
      <c r="H419" s="5"/>
      <c r="I419" s="5"/>
      <c r="J419" s="5"/>
    </row>
    <row r="420" spans="2:10" x14ac:dyDescent="0.25">
      <c r="B420" s="5"/>
      <c r="C420" s="5"/>
      <c r="D420" s="5"/>
      <c r="E420" s="5"/>
      <c r="F420" s="5"/>
      <c r="G420" s="5"/>
      <c r="H420" s="5"/>
      <c r="I420" s="5"/>
      <c r="J420" s="5"/>
    </row>
    <row r="421" spans="2:10" x14ac:dyDescent="0.25">
      <c r="B421" s="5"/>
      <c r="C421" s="5"/>
      <c r="D421" s="5"/>
      <c r="E421" s="5"/>
      <c r="F421" s="5"/>
      <c r="G421" s="5"/>
      <c r="H421" s="5"/>
      <c r="I421" s="5"/>
      <c r="J421" s="5"/>
    </row>
    <row r="422" spans="2:10" x14ac:dyDescent="0.25">
      <c r="B422" s="5"/>
      <c r="C422" s="5"/>
      <c r="D422" s="5"/>
      <c r="E422" s="5"/>
      <c r="F422" s="5"/>
      <c r="G422" s="5"/>
      <c r="H422" s="5"/>
      <c r="I422" s="5"/>
      <c r="J422" s="5"/>
    </row>
    <row r="423" spans="2:10" x14ac:dyDescent="0.25">
      <c r="B423" s="5"/>
      <c r="C423" s="5"/>
      <c r="D423" s="5"/>
      <c r="E423" s="5"/>
      <c r="F423" s="5"/>
      <c r="G423" s="5"/>
      <c r="H423" s="5"/>
      <c r="I423" s="5"/>
      <c r="J423" s="5"/>
    </row>
    <row r="424" spans="2:10" x14ac:dyDescent="0.25">
      <c r="B424" s="5"/>
      <c r="C424" s="5"/>
      <c r="D424" s="5"/>
      <c r="E424" s="5"/>
      <c r="F424" s="5"/>
      <c r="G424" s="5"/>
      <c r="H424" s="5"/>
      <c r="I424" s="5"/>
      <c r="J424" s="5"/>
    </row>
    <row r="425" spans="2:10" x14ac:dyDescent="0.25">
      <c r="B425" s="5"/>
      <c r="C425" s="5"/>
      <c r="D425" s="5"/>
      <c r="E425" s="5"/>
      <c r="F425" s="5"/>
      <c r="G425" s="5"/>
      <c r="H425" s="5"/>
      <c r="I425" s="5"/>
      <c r="J425" s="5"/>
    </row>
    <row r="426" spans="2:10" x14ac:dyDescent="0.25">
      <c r="B426" s="5"/>
      <c r="C426" s="5"/>
      <c r="D426" s="5"/>
      <c r="E426" s="5"/>
      <c r="F426" s="5"/>
      <c r="G426" s="5"/>
      <c r="H426" s="5"/>
      <c r="I426" s="5"/>
      <c r="J426" s="5"/>
    </row>
    <row r="427" spans="2:10" x14ac:dyDescent="0.25">
      <c r="B427" s="5"/>
      <c r="C427" s="5"/>
      <c r="D427" s="5"/>
      <c r="E427" s="5"/>
      <c r="F427" s="5"/>
      <c r="G427" s="5"/>
      <c r="H427" s="5"/>
      <c r="I427" s="5"/>
      <c r="J427" s="5"/>
    </row>
    <row r="428" spans="2:10" x14ac:dyDescent="0.25">
      <c r="B428" s="5"/>
      <c r="C428" s="5"/>
      <c r="D428" s="5"/>
      <c r="E428" s="5"/>
      <c r="F428" s="5"/>
      <c r="G428" s="5"/>
      <c r="H428" s="5"/>
      <c r="I428" s="5"/>
      <c r="J428" s="5"/>
    </row>
    <row r="429" spans="2:10" x14ac:dyDescent="0.25">
      <c r="B429" s="5"/>
      <c r="C429" s="5"/>
      <c r="D429" s="5"/>
      <c r="E429" s="5"/>
      <c r="F429" s="5"/>
      <c r="G429" s="5"/>
      <c r="H429" s="5"/>
      <c r="I429" s="5"/>
      <c r="J429" s="5"/>
    </row>
    <row r="430" spans="2:10" x14ac:dyDescent="0.25">
      <c r="B430" s="5"/>
      <c r="C430" s="5"/>
      <c r="D430" s="5"/>
      <c r="E430" s="5"/>
      <c r="F430" s="5"/>
      <c r="G430" s="5"/>
      <c r="H430" s="5"/>
      <c r="I430" s="5"/>
      <c r="J430" s="5"/>
    </row>
    <row r="431" spans="2:10" x14ac:dyDescent="0.25">
      <c r="B431" s="5"/>
      <c r="C431" s="5"/>
      <c r="D431" s="5"/>
      <c r="E431" s="5"/>
      <c r="F431" s="5"/>
      <c r="G431" s="5"/>
      <c r="H431" s="5"/>
      <c r="I431" s="5"/>
      <c r="J431" s="5"/>
    </row>
    <row r="432" spans="2:10" x14ac:dyDescent="0.25">
      <c r="B432" s="5"/>
      <c r="C432" s="5"/>
      <c r="D432" s="5"/>
      <c r="E432" s="5"/>
      <c r="F432" s="5"/>
      <c r="G432" s="5"/>
      <c r="H432" s="5"/>
      <c r="I432" s="5"/>
      <c r="J432" s="5"/>
    </row>
    <row r="433" spans="2:10" x14ac:dyDescent="0.25">
      <c r="B433" s="5"/>
      <c r="C433" s="5"/>
      <c r="D433" s="5"/>
      <c r="E433" s="5"/>
      <c r="F433" s="5"/>
      <c r="G433" s="5"/>
      <c r="H433" s="5"/>
      <c r="I433" s="5"/>
      <c r="J433" s="5"/>
    </row>
    <row r="434" spans="2:10" x14ac:dyDescent="0.25">
      <c r="B434" s="5"/>
      <c r="C434" s="5"/>
      <c r="D434" s="5"/>
      <c r="E434" s="5"/>
      <c r="F434" s="5"/>
      <c r="G434" s="5"/>
      <c r="H434" s="5"/>
      <c r="I434" s="5"/>
      <c r="J434" s="5"/>
    </row>
    <row r="435" spans="2:10" x14ac:dyDescent="0.25">
      <c r="B435" s="5"/>
      <c r="C435" s="5"/>
      <c r="D435" s="5"/>
      <c r="E435" s="5"/>
      <c r="F435" s="5"/>
      <c r="G435" s="5"/>
      <c r="H435" s="5"/>
      <c r="I435" s="5"/>
      <c r="J435" s="5"/>
    </row>
    <row r="436" spans="2:10" x14ac:dyDescent="0.25">
      <c r="B436" s="5"/>
      <c r="C436" s="5"/>
      <c r="D436" s="5"/>
      <c r="E436" s="5"/>
      <c r="F436" s="5"/>
      <c r="G436" s="5"/>
      <c r="H436" s="5"/>
      <c r="I436" s="5"/>
      <c r="J436" s="5"/>
    </row>
    <row r="437" spans="2:10" x14ac:dyDescent="0.25">
      <c r="B437" s="5"/>
      <c r="C437" s="5"/>
      <c r="D437" s="5"/>
      <c r="E437" s="5"/>
      <c r="F437" s="5"/>
      <c r="G437" s="5"/>
      <c r="H437" s="5"/>
      <c r="I437" s="5"/>
      <c r="J437" s="5"/>
    </row>
    <row r="438" spans="2:10" x14ac:dyDescent="0.25">
      <c r="B438" s="5"/>
      <c r="C438" s="5"/>
      <c r="D438" s="5"/>
      <c r="E438" s="5"/>
      <c r="F438" s="5"/>
      <c r="G438" s="5"/>
      <c r="H438" s="5"/>
      <c r="I438" s="5"/>
      <c r="J438" s="5"/>
    </row>
    <row r="439" spans="2:10" x14ac:dyDescent="0.25">
      <c r="B439" s="5"/>
      <c r="C439" s="5"/>
      <c r="D439" s="5"/>
      <c r="E439" s="5"/>
      <c r="F439" s="5"/>
      <c r="G439" s="5"/>
      <c r="H439" s="5"/>
      <c r="I439" s="5"/>
      <c r="J439" s="5"/>
    </row>
    <row r="440" spans="2:10" x14ac:dyDescent="0.25">
      <c r="B440" s="5"/>
      <c r="C440" s="5"/>
      <c r="D440" s="5"/>
      <c r="E440" s="5"/>
      <c r="F440" s="5"/>
      <c r="G440" s="5"/>
      <c r="H440" s="5"/>
      <c r="I440" s="5"/>
      <c r="J440" s="5"/>
    </row>
    <row r="441" spans="2:10" x14ac:dyDescent="0.25">
      <c r="B441" s="5"/>
      <c r="C441" s="5"/>
      <c r="D441" s="5"/>
      <c r="E441" s="5"/>
      <c r="F441" s="5"/>
      <c r="G441" s="5"/>
      <c r="H441" s="5"/>
      <c r="I441" s="5"/>
      <c r="J441" s="5"/>
    </row>
    <row r="442" spans="2:10" x14ac:dyDescent="0.25">
      <c r="B442" s="5"/>
      <c r="C442" s="5"/>
      <c r="D442" s="5"/>
      <c r="E442" s="5"/>
      <c r="F442" s="5"/>
      <c r="G442" s="5"/>
      <c r="H442" s="5"/>
      <c r="I442" s="5"/>
      <c r="J442" s="5"/>
    </row>
    <row r="443" spans="2:10" x14ac:dyDescent="0.25">
      <c r="B443" s="5"/>
      <c r="C443" s="5"/>
      <c r="D443" s="5"/>
      <c r="E443" s="5"/>
      <c r="F443" s="5"/>
      <c r="G443" s="5"/>
      <c r="H443" s="5"/>
      <c r="I443" s="5"/>
      <c r="J443" s="5"/>
    </row>
    <row r="444" spans="2:10" x14ac:dyDescent="0.25">
      <c r="B444" s="5"/>
      <c r="C444" s="5"/>
      <c r="D444" s="5"/>
      <c r="E444" s="5"/>
      <c r="F444" s="5"/>
      <c r="G444" s="5"/>
      <c r="H444" s="5"/>
      <c r="I444" s="5"/>
      <c r="J444" s="5"/>
    </row>
    <row r="445" spans="2:10" x14ac:dyDescent="0.25">
      <c r="B445" s="5"/>
      <c r="C445" s="5"/>
      <c r="D445" s="5"/>
      <c r="E445" s="5"/>
      <c r="F445" s="5"/>
      <c r="G445" s="5"/>
      <c r="H445" s="5"/>
      <c r="I445" s="5"/>
      <c r="J445" s="5"/>
    </row>
    <row r="446" spans="2:10" x14ac:dyDescent="0.25">
      <c r="B446" s="5"/>
      <c r="C446" s="5"/>
      <c r="D446" s="5"/>
      <c r="E446" s="5"/>
      <c r="F446" s="5"/>
      <c r="G446" s="5"/>
      <c r="H446" s="5"/>
      <c r="I446" s="5"/>
      <c r="J446" s="5"/>
    </row>
    <row r="447" spans="2:10" x14ac:dyDescent="0.25">
      <c r="B447" s="5"/>
      <c r="C447" s="5"/>
      <c r="D447" s="5"/>
      <c r="E447" s="5"/>
      <c r="F447" s="5"/>
      <c r="G447" s="5"/>
      <c r="H447" s="5"/>
      <c r="I447" s="5"/>
      <c r="J447" s="5"/>
    </row>
    <row r="448" spans="2:10" x14ac:dyDescent="0.25">
      <c r="B448" s="5"/>
      <c r="C448" s="5"/>
      <c r="D448" s="5"/>
      <c r="E448" s="5"/>
      <c r="F448" s="5"/>
      <c r="G448" s="5"/>
      <c r="H448" s="5"/>
      <c r="I448" s="5"/>
      <c r="J448" s="5"/>
    </row>
    <row r="449" spans="2:10" x14ac:dyDescent="0.25">
      <c r="B449" s="5"/>
      <c r="C449" s="5"/>
      <c r="D449" s="5"/>
      <c r="E449" s="5"/>
      <c r="F449" s="5"/>
      <c r="G449" s="5"/>
      <c r="H449" s="5"/>
      <c r="I449" s="5"/>
      <c r="J449" s="5"/>
    </row>
    <row r="450" spans="2:10" x14ac:dyDescent="0.25">
      <c r="B450" s="5"/>
      <c r="C450" s="5"/>
      <c r="D450" s="5"/>
      <c r="E450" s="5"/>
      <c r="F450" s="5"/>
      <c r="G450" s="5"/>
      <c r="H450" s="5"/>
      <c r="I450" s="5"/>
      <c r="J450" s="5"/>
    </row>
    <row r="451" spans="2:10" x14ac:dyDescent="0.25">
      <c r="B451" s="5"/>
      <c r="C451" s="5"/>
      <c r="D451" s="5"/>
      <c r="E451" s="5"/>
      <c r="F451" s="5"/>
      <c r="G451" s="5"/>
      <c r="H451" s="5"/>
      <c r="I451" s="5"/>
      <c r="J451" s="5"/>
    </row>
    <row r="452" spans="2:10" x14ac:dyDescent="0.25">
      <c r="B452" s="5"/>
      <c r="C452" s="5"/>
      <c r="D452" s="5"/>
      <c r="E452" s="5"/>
      <c r="F452" s="5"/>
      <c r="G452" s="5"/>
      <c r="H452" s="5"/>
      <c r="I452" s="5"/>
      <c r="J452" s="5"/>
    </row>
    <row r="453" spans="2:10" x14ac:dyDescent="0.25">
      <c r="B453" s="5"/>
      <c r="C453" s="5"/>
      <c r="D453" s="5"/>
      <c r="E453" s="5"/>
      <c r="F453" s="5"/>
      <c r="G453" s="5"/>
      <c r="H453" s="5"/>
      <c r="I453" s="5"/>
      <c r="J453" s="5"/>
    </row>
    <row r="454" spans="2:10" x14ac:dyDescent="0.25">
      <c r="B454" s="5"/>
      <c r="C454" s="5"/>
      <c r="D454" s="5"/>
      <c r="E454" s="5"/>
      <c r="F454" s="5"/>
      <c r="G454" s="5"/>
      <c r="H454" s="5"/>
      <c r="I454" s="5"/>
      <c r="J454" s="5"/>
    </row>
    <row r="455" spans="2:10" x14ac:dyDescent="0.25">
      <c r="B455" s="5"/>
      <c r="C455" s="5"/>
      <c r="D455" s="5"/>
      <c r="E455" s="5"/>
      <c r="F455" s="5"/>
      <c r="G455" s="5"/>
      <c r="H455" s="5"/>
      <c r="I455" s="5"/>
      <c r="J455" s="5"/>
    </row>
    <row r="456" spans="2:10" x14ac:dyDescent="0.25">
      <c r="B456" s="5"/>
      <c r="C456" s="5"/>
      <c r="D456" s="5"/>
      <c r="E456" s="5"/>
      <c r="F456" s="5"/>
      <c r="G456" s="5"/>
      <c r="H456" s="5"/>
      <c r="I456" s="5"/>
      <c r="J456" s="5"/>
    </row>
    <row r="457" spans="2:10" x14ac:dyDescent="0.25">
      <c r="B457" s="5"/>
      <c r="C457" s="5"/>
      <c r="D457" s="5"/>
      <c r="E457" s="5"/>
      <c r="F457" s="5"/>
      <c r="G457" s="5"/>
      <c r="H457" s="5"/>
      <c r="I457" s="5"/>
      <c r="J457" s="5"/>
    </row>
    <row r="458" spans="2:10" x14ac:dyDescent="0.25">
      <c r="B458" s="5"/>
      <c r="C458" s="5"/>
      <c r="D458" s="5"/>
      <c r="E458" s="5"/>
      <c r="F458" s="5"/>
      <c r="G458" s="5"/>
      <c r="H458" s="5"/>
      <c r="I458" s="5"/>
      <c r="J458" s="5"/>
    </row>
    <row r="459" spans="2:10" x14ac:dyDescent="0.25">
      <c r="B459" s="5"/>
      <c r="C459" s="5"/>
      <c r="D459" s="5"/>
      <c r="E459" s="5"/>
      <c r="F459" s="5"/>
      <c r="G459" s="5"/>
      <c r="H459" s="5"/>
      <c r="I459" s="5"/>
      <c r="J459" s="5"/>
    </row>
    <row r="460" spans="2:10" x14ac:dyDescent="0.25">
      <c r="B460" s="5"/>
      <c r="C460" s="5"/>
      <c r="D460" s="5"/>
      <c r="E460" s="5"/>
      <c r="F460" s="5"/>
      <c r="G460" s="5"/>
      <c r="H460" s="5"/>
      <c r="I460" s="5"/>
      <c r="J460" s="5"/>
    </row>
    <row r="461" spans="2:10" x14ac:dyDescent="0.25">
      <c r="B461" s="5"/>
      <c r="C461" s="5"/>
      <c r="D461" s="5"/>
      <c r="E461" s="5"/>
      <c r="F461" s="5"/>
      <c r="G461" s="5"/>
      <c r="H461" s="5"/>
      <c r="I461" s="5"/>
      <c r="J461" s="5"/>
    </row>
    <row r="462" spans="2:10" x14ac:dyDescent="0.25">
      <c r="B462" s="5"/>
      <c r="C462" s="5"/>
      <c r="D462" s="5"/>
      <c r="E462" s="5"/>
      <c r="F462" s="5"/>
      <c r="G462" s="5"/>
      <c r="H462" s="5"/>
      <c r="I462" s="5"/>
      <c r="J462" s="5"/>
    </row>
    <row r="463" spans="2:10" x14ac:dyDescent="0.25">
      <c r="B463" s="5"/>
      <c r="C463" s="5"/>
      <c r="D463" s="5"/>
      <c r="E463" s="5"/>
      <c r="F463" s="5"/>
      <c r="G463" s="5"/>
      <c r="H463" s="5"/>
      <c r="I463" s="5"/>
      <c r="J463" s="5"/>
    </row>
    <row r="464" spans="2:10" x14ac:dyDescent="0.25">
      <c r="B464" s="5"/>
      <c r="C464" s="5"/>
      <c r="D464" s="5"/>
      <c r="E464" s="5"/>
      <c r="F464" s="5"/>
      <c r="G464" s="5"/>
      <c r="H464" s="5"/>
      <c r="I464" s="5"/>
      <c r="J464" s="5"/>
    </row>
    <row r="465" spans="2:10" x14ac:dyDescent="0.25">
      <c r="B465" s="5"/>
      <c r="C465" s="5"/>
      <c r="D465" s="5"/>
      <c r="E465" s="5"/>
      <c r="F465" s="5"/>
      <c r="G465" s="5"/>
      <c r="H465" s="5"/>
      <c r="I465" s="5"/>
      <c r="J465" s="5"/>
    </row>
    <row r="466" spans="2:10" x14ac:dyDescent="0.25">
      <c r="B466" s="5"/>
      <c r="C466" s="5"/>
      <c r="D466" s="5"/>
      <c r="E466" s="5"/>
      <c r="F466" s="5"/>
      <c r="G466" s="5"/>
      <c r="H466" s="5"/>
      <c r="I466" s="5"/>
      <c r="J466" s="5"/>
    </row>
    <row r="467" spans="2:10" x14ac:dyDescent="0.25">
      <c r="B467" s="5"/>
      <c r="C467" s="5"/>
      <c r="D467" s="5"/>
      <c r="E467" s="5"/>
      <c r="F467" s="5"/>
      <c r="G467" s="5"/>
      <c r="H467" s="5"/>
      <c r="I467" s="5"/>
      <c r="J467" s="5"/>
    </row>
    <row r="468" spans="2:10" x14ac:dyDescent="0.25">
      <c r="B468" s="5"/>
      <c r="C468" s="5"/>
      <c r="D468" s="5"/>
      <c r="E468" s="5"/>
      <c r="F468" s="5"/>
      <c r="G468" s="5"/>
      <c r="H468" s="5"/>
      <c r="I468" s="5"/>
      <c r="J468" s="5"/>
    </row>
    <row r="469" spans="2:10" x14ac:dyDescent="0.25">
      <c r="B469" s="5"/>
      <c r="C469" s="5"/>
      <c r="D469" s="5"/>
      <c r="E469" s="5"/>
      <c r="F469" s="5"/>
      <c r="G469" s="5"/>
      <c r="H469" s="5"/>
      <c r="I469" s="5"/>
      <c r="J469" s="5"/>
    </row>
    <row r="470" spans="2:10" x14ac:dyDescent="0.25">
      <c r="B470" s="5"/>
      <c r="C470" s="5"/>
      <c r="D470" s="5"/>
      <c r="E470" s="5"/>
      <c r="F470" s="5"/>
      <c r="G470" s="5"/>
      <c r="H470" s="5"/>
      <c r="I470" s="5"/>
      <c r="J470" s="5"/>
    </row>
    <row r="471" spans="2:10" x14ac:dyDescent="0.25">
      <c r="B471" s="5"/>
      <c r="C471" s="5"/>
      <c r="D471" s="5"/>
      <c r="E471" s="5"/>
      <c r="F471" s="5"/>
      <c r="G471" s="5"/>
      <c r="H471" s="5"/>
      <c r="I471" s="5"/>
      <c r="J471" s="5"/>
    </row>
    <row r="472" spans="2:10" x14ac:dyDescent="0.25">
      <c r="B472" s="5"/>
      <c r="C472" s="5"/>
      <c r="D472" s="5"/>
      <c r="E472" s="5"/>
      <c r="F472" s="5"/>
      <c r="G472" s="5"/>
      <c r="H472" s="5"/>
      <c r="I472" s="5"/>
      <c r="J472" s="5"/>
    </row>
    <row r="473" spans="2:10" x14ac:dyDescent="0.25">
      <c r="B473" s="5"/>
      <c r="C473" s="5"/>
      <c r="D473" s="5"/>
      <c r="E473" s="5"/>
      <c r="F473" s="5"/>
      <c r="G473" s="5"/>
      <c r="H473" s="5"/>
      <c r="I473" s="5"/>
      <c r="J473" s="5"/>
    </row>
  </sheetData>
  <conditionalFormatting sqref="B3">
    <cfRule type="duplicateValues" dxfId="33" priority="1"/>
  </conditionalFormatting>
  <hyperlinks>
    <hyperlink ref="B3" location="SUMMARY!A1" display="Sis. Obake Phoebe" xr:uid="{67AB87C5-E2C1-457C-95E2-15AAB9669873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8441-8FAB-4805-B81C-1B9E8387B743}">
  <dimension ref="A1:J281"/>
  <sheetViews>
    <sheetView workbookViewId="0"/>
  </sheetViews>
  <sheetFormatPr defaultRowHeight="15" x14ac:dyDescent="0.25"/>
  <cols>
    <col min="1" max="1" width="11.7109375" customWidth="1"/>
    <col min="3" max="3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45</v>
      </c>
      <c r="C3" s="5"/>
      <c r="D3" t="s">
        <v>102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</sheetData>
  <conditionalFormatting sqref="B3">
    <cfRule type="duplicateValues" dxfId="32" priority="1"/>
  </conditionalFormatting>
  <hyperlinks>
    <hyperlink ref="B3" location="SUMMARY!A1" display="Sis. Matthew O. Blessing" xr:uid="{08986AAA-B916-4A6D-A845-3C2D2086EA2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A3B4-DE16-4AAB-A15E-C355D2309655}">
  <dimension ref="A1:J214"/>
  <sheetViews>
    <sheetView workbookViewId="0">
      <selection activeCell="B3" sqref="B3"/>
    </sheetView>
  </sheetViews>
  <sheetFormatPr defaultRowHeight="15" x14ac:dyDescent="0.25"/>
  <cols>
    <col min="1" max="1" width="13.7109375" customWidth="1"/>
    <col min="4" max="4" width="9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53</v>
      </c>
      <c r="D3" t="s">
        <v>104</v>
      </c>
    </row>
    <row r="4" spans="1:10" x14ac:dyDescent="0.25">
      <c r="A4" s="1" t="s">
        <v>3</v>
      </c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1000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</sheetData>
  <conditionalFormatting sqref="B3">
    <cfRule type="duplicateValues" dxfId="31" priority="1"/>
  </conditionalFormatting>
  <hyperlinks>
    <hyperlink ref="B3" location="SUMMARY!A1" display="Sis. Ogedengbe Eyitayo Deborah" xr:uid="{8197341D-C4A9-483E-90D4-C89AC2FE198D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D4B5-9423-4C2D-B51A-139B6391A1D2}">
  <dimension ref="A1:J543"/>
  <sheetViews>
    <sheetView workbookViewId="0"/>
  </sheetViews>
  <sheetFormatPr defaultRowHeight="15" x14ac:dyDescent="0.25"/>
  <cols>
    <col min="1" max="1" width="11.28515625" customWidth="1"/>
    <col min="3" max="3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105</v>
      </c>
      <c r="C3" s="5"/>
      <c r="D3" t="s">
        <v>108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2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2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2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2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2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2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2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2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2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2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2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2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2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2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2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2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2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2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2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2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2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2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2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2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2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2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2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2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2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2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2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2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2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2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2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2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2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2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2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2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2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2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2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2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2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2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2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2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2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2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2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2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2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2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2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2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2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2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2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2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2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2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2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2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25">
      <c r="B368" s="5"/>
      <c r="C368" s="5"/>
      <c r="D368" s="5"/>
      <c r="E368" s="5"/>
      <c r="F368" s="5"/>
      <c r="G368" s="5"/>
      <c r="H368" s="5"/>
      <c r="I368" s="5"/>
      <c r="J368" s="5"/>
    </row>
    <row r="369" spans="2:10" x14ac:dyDescent="0.25">
      <c r="B369" s="5"/>
      <c r="C369" s="5"/>
      <c r="D369" s="5"/>
      <c r="E369" s="5"/>
      <c r="F369" s="5"/>
      <c r="G369" s="5"/>
      <c r="H369" s="5"/>
      <c r="I369" s="5"/>
      <c r="J369" s="5"/>
    </row>
    <row r="370" spans="2:10" x14ac:dyDescent="0.25">
      <c r="B370" s="5"/>
      <c r="C370" s="5"/>
      <c r="D370" s="5"/>
      <c r="E370" s="5"/>
      <c r="F370" s="5"/>
      <c r="G370" s="5"/>
      <c r="H370" s="5"/>
      <c r="I370" s="5"/>
      <c r="J370" s="5"/>
    </row>
    <row r="371" spans="2:10" x14ac:dyDescent="0.25">
      <c r="B371" s="5"/>
      <c r="C371" s="5"/>
      <c r="D371" s="5"/>
      <c r="E371" s="5"/>
      <c r="F371" s="5"/>
      <c r="G371" s="5"/>
      <c r="H371" s="5"/>
      <c r="I371" s="5"/>
      <c r="J371" s="5"/>
    </row>
    <row r="372" spans="2:10" x14ac:dyDescent="0.25">
      <c r="B372" s="5"/>
      <c r="C372" s="5"/>
      <c r="D372" s="5"/>
      <c r="E372" s="5"/>
      <c r="F372" s="5"/>
      <c r="G372" s="5"/>
      <c r="H372" s="5"/>
      <c r="I372" s="5"/>
      <c r="J372" s="5"/>
    </row>
    <row r="373" spans="2:10" x14ac:dyDescent="0.25">
      <c r="B373" s="5"/>
      <c r="C373" s="5"/>
      <c r="D373" s="5"/>
      <c r="E373" s="5"/>
      <c r="F373" s="5"/>
      <c r="G373" s="5"/>
      <c r="H373" s="5"/>
      <c r="I373" s="5"/>
      <c r="J373" s="5"/>
    </row>
    <row r="374" spans="2:10" x14ac:dyDescent="0.25">
      <c r="B374" s="5"/>
      <c r="C374" s="5"/>
      <c r="D374" s="5"/>
      <c r="E374" s="5"/>
      <c r="F374" s="5"/>
      <c r="G374" s="5"/>
      <c r="H374" s="5"/>
      <c r="I374" s="5"/>
      <c r="J374" s="5"/>
    </row>
    <row r="375" spans="2:10" x14ac:dyDescent="0.25">
      <c r="B375" s="5"/>
      <c r="C375" s="5"/>
      <c r="D375" s="5"/>
      <c r="E375" s="5"/>
      <c r="F375" s="5"/>
      <c r="G375" s="5"/>
      <c r="H375" s="5"/>
      <c r="I375" s="5"/>
      <c r="J375" s="5"/>
    </row>
    <row r="376" spans="2:10" x14ac:dyDescent="0.25">
      <c r="B376" s="5"/>
      <c r="C376" s="5"/>
      <c r="D376" s="5"/>
      <c r="E376" s="5"/>
      <c r="F376" s="5"/>
      <c r="G376" s="5"/>
      <c r="H376" s="5"/>
      <c r="I376" s="5"/>
      <c r="J376" s="5"/>
    </row>
    <row r="377" spans="2:10" x14ac:dyDescent="0.25">
      <c r="B377" s="5"/>
      <c r="C377" s="5"/>
      <c r="D377" s="5"/>
      <c r="E377" s="5"/>
      <c r="F377" s="5"/>
      <c r="G377" s="5"/>
      <c r="H377" s="5"/>
      <c r="I377" s="5"/>
      <c r="J377" s="5"/>
    </row>
    <row r="378" spans="2:10" x14ac:dyDescent="0.25">
      <c r="B378" s="5"/>
      <c r="C378" s="5"/>
      <c r="D378" s="5"/>
      <c r="E378" s="5"/>
      <c r="F378" s="5"/>
      <c r="G378" s="5"/>
      <c r="H378" s="5"/>
      <c r="I378" s="5"/>
      <c r="J378" s="5"/>
    </row>
    <row r="379" spans="2:10" x14ac:dyDescent="0.25">
      <c r="B379" s="5"/>
      <c r="C379" s="5"/>
      <c r="D379" s="5"/>
      <c r="E379" s="5"/>
      <c r="F379" s="5"/>
      <c r="G379" s="5"/>
      <c r="H379" s="5"/>
      <c r="I379" s="5"/>
      <c r="J379" s="5"/>
    </row>
    <row r="380" spans="2:10" x14ac:dyDescent="0.25">
      <c r="B380" s="5"/>
      <c r="C380" s="5"/>
      <c r="D380" s="5"/>
      <c r="E380" s="5"/>
      <c r="F380" s="5"/>
      <c r="G380" s="5"/>
      <c r="H380" s="5"/>
      <c r="I380" s="5"/>
      <c r="J380" s="5"/>
    </row>
    <row r="381" spans="2:10" x14ac:dyDescent="0.25">
      <c r="B381" s="5"/>
      <c r="C381" s="5"/>
      <c r="D381" s="5"/>
      <c r="E381" s="5"/>
      <c r="F381" s="5"/>
      <c r="G381" s="5"/>
      <c r="H381" s="5"/>
      <c r="I381" s="5"/>
      <c r="J381" s="5"/>
    </row>
    <row r="382" spans="2:10" x14ac:dyDescent="0.25">
      <c r="B382" s="5"/>
      <c r="C382" s="5"/>
      <c r="D382" s="5"/>
      <c r="E382" s="5"/>
      <c r="F382" s="5"/>
      <c r="G382" s="5"/>
      <c r="H382" s="5"/>
      <c r="I382" s="5"/>
      <c r="J382" s="5"/>
    </row>
    <row r="383" spans="2:10" x14ac:dyDescent="0.25">
      <c r="B383" s="5"/>
      <c r="C383" s="5"/>
      <c r="D383" s="5"/>
      <c r="E383" s="5"/>
      <c r="F383" s="5"/>
      <c r="G383" s="5"/>
      <c r="H383" s="5"/>
      <c r="I383" s="5"/>
      <c r="J383" s="5"/>
    </row>
    <row r="384" spans="2:10" x14ac:dyDescent="0.25">
      <c r="B384" s="5"/>
      <c r="C384" s="5"/>
      <c r="D384" s="5"/>
      <c r="E384" s="5"/>
      <c r="F384" s="5"/>
      <c r="G384" s="5"/>
      <c r="H384" s="5"/>
      <c r="I384" s="5"/>
      <c r="J384" s="5"/>
    </row>
    <row r="385" spans="2:10" x14ac:dyDescent="0.25">
      <c r="B385" s="5"/>
      <c r="C385" s="5"/>
      <c r="D385" s="5"/>
      <c r="E385" s="5"/>
      <c r="F385" s="5"/>
      <c r="G385" s="5"/>
      <c r="H385" s="5"/>
      <c r="I385" s="5"/>
      <c r="J385" s="5"/>
    </row>
    <row r="386" spans="2:10" x14ac:dyDescent="0.25">
      <c r="B386" s="5"/>
      <c r="C386" s="5"/>
      <c r="D386" s="5"/>
      <c r="E386" s="5"/>
      <c r="F386" s="5"/>
      <c r="G386" s="5"/>
      <c r="H386" s="5"/>
      <c r="I386" s="5"/>
      <c r="J386" s="5"/>
    </row>
    <row r="387" spans="2:10" x14ac:dyDescent="0.25">
      <c r="B387" s="5"/>
      <c r="C387" s="5"/>
      <c r="D387" s="5"/>
      <c r="E387" s="5"/>
      <c r="F387" s="5"/>
      <c r="G387" s="5"/>
      <c r="H387" s="5"/>
      <c r="I387" s="5"/>
      <c r="J387" s="5"/>
    </row>
    <row r="388" spans="2:10" x14ac:dyDescent="0.25">
      <c r="B388" s="5"/>
      <c r="C388" s="5"/>
      <c r="D388" s="5"/>
      <c r="E388" s="5"/>
      <c r="F388" s="5"/>
      <c r="G388" s="5"/>
      <c r="H388" s="5"/>
      <c r="I388" s="5"/>
      <c r="J388" s="5"/>
    </row>
    <row r="389" spans="2:10" x14ac:dyDescent="0.25">
      <c r="B389" s="5"/>
      <c r="C389" s="5"/>
      <c r="D389" s="5"/>
      <c r="E389" s="5"/>
      <c r="F389" s="5"/>
      <c r="G389" s="5"/>
      <c r="H389" s="5"/>
      <c r="I389" s="5"/>
      <c r="J389" s="5"/>
    </row>
    <row r="390" spans="2:10" x14ac:dyDescent="0.25">
      <c r="B390" s="5"/>
      <c r="C390" s="5"/>
      <c r="D390" s="5"/>
      <c r="E390" s="5"/>
      <c r="F390" s="5"/>
      <c r="G390" s="5"/>
      <c r="H390" s="5"/>
      <c r="I390" s="5"/>
      <c r="J390" s="5"/>
    </row>
    <row r="391" spans="2:10" x14ac:dyDescent="0.25">
      <c r="B391" s="5"/>
      <c r="C391" s="5"/>
      <c r="D391" s="5"/>
      <c r="E391" s="5"/>
      <c r="F391" s="5"/>
      <c r="G391" s="5"/>
      <c r="H391" s="5"/>
      <c r="I391" s="5"/>
      <c r="J391" s="5"/>
    </row>
    <row r="392" spans="2:10" x14ac:dyDescent="0.25">
      <c r="B392" s="5"/>
      <c r="C392" s="5"/>
      <c r="D392" s="5"/>
      <c r="E392" s="5"/>
      <c r="F392" s="5"/>
      <c r="G392" s="5"/>
      <c r="H392" s="5"/>
      <c r="I392" s="5"/>
      <c r="J392" s="5"/>
    </row>
    <row r="393" spans="2:10" x14ac:dyDescent="0.25">
      <c r="B393" s="5"/>
      <c r="C393" s="5"/>
      <c r="D393" s="5"/>
      <c r="E393" s="5"/>
      <c r="F393" s="5"/>
      <c r="G393" s="5"/>
      <c r="H393" s="5"/>
      <c r="I393" s="5"/>
      <c r="J393" s="5"/>
    </row>
    <row r="394" spans="2:10" x14ac:dyDescent="0.25">
      <c r="B394" s="5"/>
      <c r="C394" s="5"/>
      <c r="D394" s="5"/>
      <c r="E394" s="5"/>
      <c r="F394" s="5"/>
      <c r="G394" s="5"/>
      <c r="H394" s="5"/>
      <c r="I394" s="5"/>
      <c r="J394" s="5"/>
    </row>
    <row r="395" spans="2:10" x14ac:dyDescent="0.25">
      <c r="B395" s="5"/>
      <c r="C395" s="5"/>
      <c r="D395" s="5"/>
      <c r="E395" s="5"/>
      <c r="F395" s="5"/>
      <c r="G395" s="5"/>
      <c r="H395" s="5"/>
      <c r="I395" s="5"/>
      <c r="J395" s="5"/>
    </row>
    <row r="396" spans="2:10" x14ac:dyDescent="0.25">
      <c r="B396" s="5"/>
      <c r="C396" s="5"/>
      <c r="D396" s="5"/>
      <c r="E396" s="5"/>
      <c r="F396" s="5"/>
      <c r="G396" s="5"/>
      <c r="H396" s="5"/>
      <c r="I396" s="5"/>
      <c r="J396" s="5"/>
    </row>
    <row r="397" spans="2:10" x14ac:dyDescent="0.25">
      <c r="B397" s="5"/>
      <c r="C397" s="5"/>
      <c r="D397" s="5"/>
      <c r="E397" s="5"/>
      <c r="F397" s="5"/>
      <c r="G397" s="5"/>
      <c r="H397" s="5"/>
      <c r="I397" s="5"/>
      <c r="J397" s="5"/>
    </row>
    <row r="398" spans="2:10" x14ac:dyDescent="0.25">
      <c r="B398" s="5"/>
      <c r="C398" s="5"/>
      <c r="D398" s="5"/>
      <c r="E398" s="5"/>
      <c r="F398" s="5"/>
      <c r="G398" s="5"/>
      <c r="H398" s="5"/>
      <c r="I398" s="5"/>
      <c r="J398" s="5"/>
    </row>
    <row r="399" spans="2:10" x14ac:dyDescent="0.25">
      <c r="B399" s="5"/>
      <c r="C399" s="5"/>
      <c r="D399" s="5"/>
      <c r="E399" s="5"/>
      <c r="F399" s="5"/>
      <c r="G399" s="5"/>
      <c r="H399" s="5"/>
      <c r="I399" s="5"/>
      <c r="J399" s="5"/>
    </row>
    <row r="400" spans="2:10" x14ac:dyDescent="0.25">
      <c r="B400" s="5"/>
      <c r="C400" s="5"/>
      <c r="D400" s="5"/>
      <c r="E400" s="5"/>
      <c r="F400" s="5"/>
      <c r="G400" s="5"/>
      <c r="H400" s="5"/>
      <c r="I400" s="5"/>
      <c r="J400" s="5"/>
    </row>
    <row r="401" spans="2:10" x14ac:dyDescent="0.25">
      <c r="B401" s="5"/>
      <c r="C401" s="5"/>
      <c r="D401" s="5"/>
      <c r="E401" s="5"/>
      <c r="F401" s="5"/>
      <c r="G401" s="5"/>
      <c r="H401" s="5"/>
      <c r="I401" s="5"/>
      <c r="J401" s="5"/>
    </row>
    <row r="402" spans="2:10" x14ac:dyDescent="0.25">
      <c r="B402" s="5"/>
      <c r="C402" s="5"/>
      <c r="D402" s="5"/>
      <c r="E402" s="5"/>
      <c r="F402" s="5"/>
      <c r="G402" s="5"/>
      <c r="H402" s="5"/>
      <c r="I402" s="5"/>
      <c r="J402" s="5"/>
    </row>
    <row r="403" spans="2:10" x14ac:dyDescent="0.25">
      <c r="B403" s="5"/>
      <c r="C403" s="5"/>
      <c r="D403" s="5"/>
      <c r="E403" s="5"/>
      <c r="F403" s="5"/>
      <c r="G403" s="5"/>
      <c r="H403" s="5"/>
      <c r="I403" s="5"/>
      <c r="J403" s="5"/>
    </row>
    <row r="404" spans="2:10" x14ac:dyDescent="0.25">
      <c r="B404" s="5"/>
      <c r="C404" s="5"/>
      <c r="D404" s="5"/>
      <c r="E404" s="5"/>
      <c r="F404" s="5"/>
      <c r="G404" s="5"/>
      <c r="H404" s="5"/>
      <c r="I404" s="5"/>
      <c r="J404" s="5"/>
    </row>
    <row r="405" spans="2:10" x14ac:dyDescent="0.25">
      <c r="B405" s="5"/>
      <c r="C405" s="5"/>
      <c r="D405" s="5"/>
      <c r="E405" s="5"/>
      <c r="F405" s="5"/>
      <c r="G405" s="5"/>
      <c r="H405" s="5"/>
      <c r="I405" s="5"/>
      <c r="J405" s="5"/>
    </row>
    <row r="406" spans="2:10" x14ac:dyDescent="0.25">
      <c r="B406" s="5"/>
      <c r="C406" s="5"/>
      <c r="D406" s="5"/>
      <c r="E406" s="5"/>
      <c r="F406" s="5"/>
      <c r="G406" s="5"/>
      <c r="H406" s="5"/>
      <c r="I406" s="5"/>
      <c r="J406" s="5"/>
    </row>
    <row r="407" spans="2:10" x14ac:dyDescent="0.25">
      <c r="B407" s="5"/>
      <c r="C407" s="5"/>
      <c r="D407" s="5"/>
      <c r="E407" s="5"/>
      <c r="F407" s="5"/>
      <c r="G407" s="5"/>
      <c r="H407" s="5"/>
      <c r="I407" s="5"/>
      <c r="J407" s="5"/>
    </row>
    <row r="408" spans="2:10" x14ac:dyDescent="0.25">
      <c r="B408" s="5"/>
      <c r="C408" s="5"/>
      <c r="D408" s="5"/>
      <c r="E408" s="5"/>
      <c r="F408" s="5"/>
      <c r="G408" s="5"/>
      <c r="H408" s="5"/>
      <c r="I408" s="5"/>
      <c r="J408" s="5"/>
    </row>
    <row r="409" spans="2:10" x14ac:dyDescent="0.25">
      <c r="B409" s="5"/>
      <c r="C409" s="5"/>
      <c r="D409" s="5"/>
      <c r="E409" s="5"/>
      <c r="F409" s="5"/>
      <c r="G409" s="5"/>
      <c r="H409" s="5"/>
      <c r="I409" s="5"/>
      <c r="J409" s="5"/>
    </row>
    <row r="410" spans="2:10" x14ac:dyDescent="0.25">
      <c r="B410" s="5"/>
      <c r="C410" s="5"/>
      <c r="D410" s="5"/>
      <c r="E410" s="5"/>
      <c r="F410" s="5"/>
      <c r="G410" s="5"/>
      <c r="H410" s="5"/>
      <c r="I410" s="5"/>
      <c r="J410" s="5"/>
    </row>
    <row r="411" spans="2:10" x14ac:dyDescent="0.25">
      <c r="B411" s="5"/>
      <c r="C411" s="5"/>
      <c r="D411" s="5"/>
      <c r="E411" s="5"/>
      <c r="F411" s="5"/>
      <c r="G411" s="5"/>
      <c r="H411" s="5"/>
      <c r="I411" s="5"/>
      <c r="J411" s="5"/>
    </row>
    <row r="412" spans="2:10" x14ac:dyDescent="0.25">
      <c r="B412" s="5"/>
      <c r="C412" s="5"/>
      <c r="D412" s="5"/>
      <c r="E412" s="5"/>
      <c r="F412" s="5"/>
      <c r="G412" s="5"/>
      <c r="H412" s="5"/>
      <c r="I412" s="5"/>
      <c r="J412" s="5"/>
    </row>
    <row r="413" spans="2:10" x14ac:dyDescent="0.25">
      <c r="B413" s="5"/>
      <c r="C413" s="5"/>
      <c r="D413" s="5"/>
      <c r="E413" s="5"/>
      <c r="F413" s="5"/>
      <c r="G413" s="5"/>
      <c r="H413" s="5"/>
      <c r="I413" s="5"/>
      <c r="J413" s="5"/>
    </row>
    <row r="414" spans="2:10" x14ac:dyDescent="0.25">
      <c r="B414" s="5"/>
      <c r="C414" s="5"/>
      <c r="D414" s="5"/>
      <c r="E414" s="5"/>
      <c r="F414" s="5"/>
      <c r="G414" s="5"/>
      <c r="H414" s="5"/>
      <c r="I414" s="5"/>
      <c r="J414" s="5"/>
    </row>
    <row r="415" spans="2:10" x14ac:dyDescent="0.25">
      <c r="B415" s="5"/>
      <c r="C415" s="5"/>
      <c r="D415" s="5"/>
      <c r="E415" s="5"/>
      <c r="F415" s="5"/>
      <c r="G415" s="5"/>
      <c r="H415" s="5"/>
      <c r="I415" s="5"/>
      <c r="J415" s="5"/>
    </row>
    <row r="416" spans="2:10" x14ac:dyDescent="0.25">
      <c r="B416" s="5"/>
      <c r="C416" s="5"/>
      <c r="D416" s="5"/>
      <c r="E416" s="5"/>
      <c r="F416" s="5"/>
      <c r="G416" s="5"/>
      <c r="H416" s="5"/>
      <c r="I416" s="5"/>
      <c r="J416" s="5"/>
    </row>
    <row r="417" spans="2:10" x14ac:dyDescent="0.25">
      <c r="B417" s="5"/>
      <c r="C417" s="5"/>
      <c r="D417" s="5"/>
      <c r="E417" s="5"/>
      <c r="F417" s="5"/>
      <c r="G417" s="5"/>
      <c r="H417" s="5"/>
      <c r="I417" s="5"/>
      <c r="J417" s="5"/>
    </row>
    <row r="418" spans="2:10" x14ac:dyDescent="0.25">
      <c r="B418" s="5"/>
      <c r="C418" s="5"/>
      <c r="D418" s="5"/>
      <c r="E418" s="5"/>
      <c r="F418" s="5"/>
      <c r="G418" s="5"/>
      <c r="H418" s="5"/>
      <c r="I418" s="5"/>
      <c r="J418" s="5"/>
    </row>
    <row r="419" spans="2:10" x14ac:dyDescent="0.25">
      <c r="B419" s="5"/>
      <c r="C419" s="5"/>
      <c r="D419" s="5"/>
      <c r="E419" s="5"/>
      <c r="F419" s="5"/>
      <c r="G419" s="5"/>
      <c r="H419" s="5"/>
      <c r="I419" s="5"/>
      <c r="J419" s="5"/>
    </row>
    <row r="420" spans="2:10" x14ac:dyDescent="0.25">
      <c r="B420" s="5"/>
      <c r="C420" s="5"/>
      <c r="D420" s="5"/>
      <c r="E420" s="5"/>
      <c r="F420" s="5"/>
      <c r="G420" s="5"/>
      <c r="H420" s="5"/>
      <c r="I420" s="5"/>
      <c r="J420" s="5"/>
    </row>
    <row r="421" spans="2:10" x14ac:dyDescent="0.25">
      <c r="B421" s="5"/>
      <c r="C421" s="5"/>
      <c r="D421" s="5"/>
      <c r="E421" s="5"/>
      <c r="F421" s="5"/>
      <c r="G421" s="5"/>
      <c r="H421" s="5"/>
      <c r="I421" s="5"/>
      <c r="J421" s="5"/>
    </row>
    <row r="422" spans="2:10" x14ac:dyDescent="0.25">
      <c r="B422" s="5"/>
      <c r="C422" s="5"/>
      <c r="D422" s="5"/>
      <c r="E422" s="5"/>
      <c r="F422" s="5"/>
      <c r="G422" s="5"/>
      <c r="H422" s="5"/>
      <c r="I422" s="5"/>
      <c r="J422" s="5"/>
    </row>
    <row r="423" spans="2:10" x14ac:dyDescent="0.25">
      <c r="B423" s="5"/>
      <c r="C423" s="5"/>
      <c r="D423" s="5"/>
      <c r="E423" s="5"/>
      <c r="F423" s="5"/>
      <c r="G423" s="5"/>
      <c r="H423" s="5"/>
      <c r="I423" s="5"/>
      <c r="J423" s="5"/>
    </row>
    <row r="424" spans="2:10" x14ac:dyDescent="0.25">
      <c r="B424" s="5"/>
      <c r="C424" s="5"/>
      <c r="D424" s="5"/>
      <c r="E424" s="5"/>
      <c r="F424" s="5"/>
      <c r="G424" s="5"/>
      <c r="H424" s="5"/>
      <c r="I424" s="5"/>
      <c r="J424" s="5"/>
    </row>
    <row r="425" spans="2:10" x14ac:dyDescent="0.25">
      <c r="B425" s="5"/>
      <c r="C425" s="5"/>
      <c r="D425" s="5"/>
      <c r="E425" s="5"/>
      <c r="F425" s="5"/>
      <c r="G425" s="5"/>
      <c r="H425" s="5"/>
      <c r="I425" s="5"/>
      <c r="J425" s="5"/>
    </row>
    <row r="426" spans="2:10" x14ac:dyDescent="0.25">
      <c r="B426" s="5"/>
      <c r="C426" s="5"/>
      <c r="D426" s="5"/>
      <c r="E426" s="5"/>
      <c r="F426" s="5"/>
      <c r="G426" s="5"/>
      <c r="H426" s="5"/>
      <c r="I426" s="5"/>
      <c r="J426" s="5"/>
    </row>
    <row r="427" spans="2:10" x14ac:dyDescent="0.25">
      <c r="B427" s="5"/>
      <c r="C427" s="5"/>
      <c r="D427" s="5"/>
      <c r="E427" s="5"/>
      <c r="F427" s="5"/>
      <c r="G427" s="5"/>
      <c r="H427" s="5"/>
      <c r="I427" s="5"/>
      <c r="J427" s="5"/>
    </row>
    <row r="428" spans="2:10" x14ac:dyDescent="0.25">
      <c r="B428" s="5"/>
      <c r="C428" s="5"/>
      <c r="D428" s="5"/>
      <c r="E428" s="5"/>
      <c r="F428" s="5"/>
      <c r="G428" s="5"/>
      <c r="H428" s="5"/>
      <c r="I428" s="5"/>
      <c r="J428" s="5"/>
    </row>
    <row r="429" spans="2:10" x14ac:dyDescent="0.25">
      <c r="B429" s="5"/>
      <c r="C429" s="5"/>
      <c r="D429" s="5"/>
      <c r="E429" s="5"/>
      <c r="F429" s="5"/>
      <c r="G429" s="5"/>
      <c r="H429" s="5"/>
      <c r="I429" s="5"/>
      <c r="J429" s="5"/>
    </row>
    <row r="430" spans="2:10" x14ac:dyDescent="0.25">
      <c r="B430" s="5"/>
      <c r="C430" s="5"/>
      <c r="D430" s="5"/>
      <c r="E430" s="5"/>
      <c r="F430" s="5"/>
      <c r="G430" s="5"/>
      <c r="H430" s="5"/>
      <c r="I430" s="5"/>
      <c r="J430" s="5"/>
    </row>
    <row r="431" spans="2:10" x14ac:dyDescent="0.25">
      <c r="B431" s="5"/>
      <c r="C431" s="5"/>
      <c r="D431" s="5"/>
      <c r="E431" s="5"/>
      <c r="F431" s="5"/>
      <c r="G431" s="5"/>
      <c r="H431" s="5"/>
      <c r="I431" s="5"/>
      <c r="J431" s="5"/>
    </row>
    <row r="432" spans="2:10" x14ac:dyDescent="0.25">
      <c r="B432" s="5"/>
      <c r="C432" s="5"/>
      <c r="D432" s="5"/>
      <c r="E432" s="5"/>
      <c r="F432" s="5"/>
      <c r="G432" s="5"/>
      <c r="H432" s="5"/>
      <c r="I432" s="5"/>
      <c r="J432" s="5"/>
    </row>
    <row r="433" spans="2:10" x14ac:dyDescent="0.25">
      <c r="B433" s="5"/>
      <c r="C433" s="5"/>
      <c r="D433" s="5"/>
      <c r="E433" s="5"/>
      <c r="F433" s="5"/>
      <c r="G433" s="5"/>
      <c r="H433" s="5"/>
      <c r="I433" s="5"/>
      <c r="J433" s="5"/>
    </row>
    <row r="434" spans="2:10" x14ac:dyDescent="0.25">
      <c r="B434" s="5"/>
      <c r="C434" s="5"/>
      <c r="D434" s="5"/>
      <c r="E434" s="5"/>
      <c r="F434" s="5"/>
      <c r="G434" s="5"/>
      <c r="H434" s="5"/>
      <c r="I434" s="5"/>
      <c r="J434" s="5"/>
    </row>
    <row r="435" spans="2:10" x14ac:dyDescent="0.25">
      <c r="B435" s="5"/>
      <c r="C435" s="5"/>
      <c r="D435" s="5"/>
      <c r="E435" s="5"/>
      <c r="F435" s="5"/>
      <c r="G435" s="5"/>
      <c r="H435" s="5"/>
      <c r="I435" s="5"/>
      <c r="J435" s="5"/>
    </row>
    <row r="436" spans="2:10" x14ac:dyDescent="0.25">
      <c r="B436" s="5"/>
      <c r="C436" s="5"/>
      <c r="D436" s="5"/>
      <c r="E436" s="5"/>
      <c r="F436" s="5"/>
      <c r="G436" s="5"/>
      <c r="H436" s="5"/>
      <c r="I436" s="5"/>
      <c r="J436" s="5"/>
    </row>
    <row r="437" spans="2:10" x14ac:dyDescent="0.25">
      <c r="B437" s="5"/>
      <c r="C437" s="5"/>
      <c r="D437" s="5"/>
      <c r="E437" s="5"/>
      <c r="F437" s="5"/>
      <c r="G437" s="5"/>
      <c r="H437" s="5"/>
      <c r="I437" s="5"/>
      <c r="J437" s="5"/>
    </row>
    <row r="438" spans="2:10" x14ac:dyDescent="0.25">
      <c r="B438" s="5"/>
      <c r="C438" s="5"/>
      <c r="D438" s="5"/>
      <c r="E438" s="5"/>
      <c r="F438" s="5"/>
      <c r="G438" s="5"/>
      <c r="H438" s="5"/>
      <c r="I438" s="5"/>
      <c r="J438" s="5"/>
    </row>
    <row r="439" spans="2:10" x14ac:dyDescent="0.25">
      <c r="B439" s="5"/>
      <c r="C439" s="5"/>
      <c r="D439" s="5"/>
      <c r="E439" s="5"/>
      <c r="F439" s="5"/>
      <c r="G439" s="5"/>
      <c r="H439" s="5"/>
      <c r="I439" s="5"/>
      <c r="J439" s="5"/>
    </row>
    <row r="440" spans="2:10" x14ac:dyDescent="0.25">
      <c r="B440" s="5"/>
      <c r="C440" s="5"/>
      <c r="D440" s="5"/>
      <c r="E440" s="5"/>
      <c r="F440" s="5"/>
      <c r="G440" s="5"/>
      <c r="H440" s="5"/>
      <c r="I440" s="5"/>
      <c r="J440" s="5"/>
    </row>
    <row r="441" spans="2:10" x14ac:dyDescent="0.25">
      <c r="B441" s="5"/>
      <c r="C441" s="5"/>
      <c r="D441" s="5"/>
      <c r="E441" s="5"/>
      <c r="F441" s="5"/>
      <c r="G441" s="5"/>
      <c r="H441" s="5"/>
      <c r="I441" s="5"/>
      <c r="J441" s="5"/>
    </row>
    <row r="442" spans="2:10" x14ac:dyDescent="0.25">
      <c r="B442" s="5"/>
      <c r="C442" s="5"/>
      <c r="D442" s="5"/>
      <c r="E442" s="5"/>
      <c r="F442" s="5"/>
      <c r="G442" s="5"/>
      <c r="H442" s="5"/>
      <c r="I442" s="5"/>
      <c r="J442" s="5"/>
    </row>
    <row r="443" spans="2:10" x14ac:dyDescent="0.25">
      <c r="B443" s="5"/>
      <c r="C443" s="5"/>
      <c r="D443" s="5"/>
      <c r="E443" s="5"/>
      <c r="F443" s="5"/>
      <c r="G443" s="5"/>
      <c r="H443" s="5"/>
      <c r="I443" s="5"/>
      <c r="J443" s="5"/>
    </row>
    <row r="444" spans="2:10" x14ac:dyDescent="0.25">
      <c r="B444" s="5"/>
      <c r="C444" s="5"/>
      <c r="D444" s="5"/>
      <c r="E444" s="5"/>
      <c r="F444" s="5"/>
      <c r="G444" s="5"/>
      <c r="H444" s="5"/>
      <c r="I444" s="5"/>
      <c r="J444" s="5"/>
    </row>
    <row r="445" spans="2:10" x14ac:dyDescent="0.25">
      <c r="B445" s="5"/>
      <c r="C445" s="5"/>
      <c r="D445" s="5"/>
      <c r="E445" s="5"/>
      <c r="F445" s="5"/>
      <c r="G445" s="5"/>
      <c r="H445" s="5"/>
      <c r="I445" s="5"/>
      <c r="J445" s="5"/>
    </row>
    <row r="446" spans="2:10" x14ac:dyDescent="0.25">
      <c r="B446" s="5"/>
      <c r="C446" s="5"/>
      <c r="D446" s="5"/>
      <c r="E446" s="5"/>
      <c r="F446" s="5"/>
      <c r="G446" s="5"/>
      <c r="H446" s="5"/>
      <c r="I446" s="5"/>
      <c r="J446" s="5"/>
    </row>
    <row r="447" spans="2:10" x14ac:dyDescent="0.25">
      <c r="B447" s="5"/>
      <c r="C447" s="5"/>
      <c r="D447" s="5"/>
      <c r="E447" s="5"/>
      <c r="F447" s="5"/>
      <c r="G447" s="5"/>
      <c r="H447" s="5"/>
      <c r="I447" s="5"/>
      <c r="J447" s="5"/>
    </row>
    <row r="448" spans="2:10" x14ac:dyDescent="0.25">
      <c r="B448" s="5"/>
      <c r="C448" s="5"/>
      <c r="D448" s="5"/>
      <c r="E448" s="5"/>
      <c r="F448" s="5"/>
      <c r="G448" s="5"/>
      <c r="H448" s="5"/>
      <c r="I448" s="5"/>
      <c r="J448" s="5"/>
    </row>
    <row r="449" spans="2:10" x14ac:dyDescent="0.25">
      <c r="B449" s="5"/>
      <c r="C449" s="5"/>
      <c r="D449" s="5"/>
      <c r="E449" s="5"/>
      <c r="F449" s="5"/>
      <c r="G449" s="5"/>
      <c r="H449" s="5"/>
      <c r="I449" s="5"/>
      <c r="J449" s="5"/>
    </row>
    <row r="450" spans="2:10" x14ac:dyDescent="0.25">
      <c r="B450" s="5"/>
      <c r="C450" s="5"/>
      <c r="D450" s="5"/>
      <c r="E450" s="5"/>
      <c r="F450" s="5"/>
      <c r="G450" s="5"/>
      <c r="H450" s="5"/>
      <c r="I450" s="5"/>
      <c r="J450" s="5"/>
    </row>
    <row r="451" spans="2:10" x14ac:dyDescent="0.25">
      <c r="B451" s="5"/>
      <c r="C451" s="5"/>
      <c r="D451" s="5"/>
      <c r="E451" s="5"/>
      <c r="F451" s="5"/>
      <c r="G451" s="5"/>
      <c r="H451" s="5"/>
      <c r="I451" s="5"/>
      <c r="J451" s="5"/>
    </row>
    <row r="452" spans="2:10" x14ac:dyDescent="0.25">
      <c r="B452" s="5"/>
      <c r="C452" s="5"/>
      <c r="D452" s="5"/>
      <c r="E452" s="5"/>
      <c r="F452" s="5"/>
      <c r="G452" s="5"/>
      <c r="H452" s="5"/>
      <c r="I452" s="5"/>
      <c r="J452" s="5"/>
    </row>
    <row r="453" spans="2:10" x14ac:dyDescent="0.25">
      <c r="B453" s="5"/>
      <c r="C453" s="5"/>
      <c r="D453" s="5"/>
      <c r="E453" s="5"/>
      <c r="F453" s="5"/>
      <c r="G453" s="5"/>
      <c r="H453" s="5"/>
      <c r="I453" s="5"/>
      <c r="J453" s="5"/>
    </row>
    <row r="454" spans="2:10" x14ac:dyDescent="0.25">
      <c r="B454" s="5"/>
      <c r="C454" s="5"/>
      <c r="D454" s="5"/>
      <c r="E454" s="5"/>
      <c r="F454" s="5"/>
      <c r="G454" s="5"/>
      <c r="H454" s="5"/>
      <c r="I454" s="5"/>
      <c r="J454" s="5"/>
    </row>
    <row r="455" spans="2:10" x14ac:dyDescent="0.25">
      <c r="B455" s="5"/>
      <c r="C455" s="5"/>
      <c r="D455" s="5"/>
      <c r="E455" s="5"/>
      <c r="F455" s="5"/>
      <c r="G455" s="5"/>
      <c r="H455" s="5"/>
      <c r="I455" s="5"/>
      <c r="J455" s="5"/>
    </row>
    <row r="456" spans="2:10" x14ac:dyDescent="0.25">
      <c r="B456" s="5"/>
      <c r="C456" s="5"/>
      <c r="D456" s="5"/>
      <c r="E456" s="5"/>
      <c r="F456" s="5"/>
      <c r="G456" s="5"/>
      <c r="H456" s="5"/>
      <c r="I456" s="5"/>
      <c r="J456" s="5"/>
    </row>
    <row r="457" spans="2:10" x14ac:dyDescent="0.25">
      <c r="B457" s="5"/>
      <c r="C457" s="5"/>
      <c r="D457" s="5"/>
      <c r="E457" s="5"/>
      <c r="F457" s="5"/>
      <c r="G457" s="5"/>
      <c r="H457" s="5"/>
      <c r="I457" s="5"/>
      <c r="J457" s="5"/>
    </row>
    <row r="458" spans="2:10" x14ac:dyDescent="0.25">
      <c r="B458" s="5"/>
      <c r="C458" s="5"/>
      <c r="D458" s="5"/>
      <c r="E458" s="5"/>
      <c r="F458" s="5"/>
      <c r="G458" s="5"/>
      <c r="H458" s="5"/>
      <c r="I458" s="5"/>
      <c r="J458" s="5"/>
    </row>
    <row r="459" spans="2:10" x14ac:dyDescent="0.25">
      <c r="B459" s="5"/>
      <c r="C459" s="5"/>
      <c r="D459" s="5"/>
      <c r="E459" s="5"/>
      <c r="F459" s="5"/>
      <c r="G459" s="5"/>
      <c r="H459" s="5"/>
      <c r="I459" s="5"/>
      <c r="J459" s="5"/>
    </row>
    <row r="460" spans="2:10" x14ac:dyDescent="0.25">
      <c r="B460" s="5"/>
      <c r="C460" s="5"/>
      <c r="D460" s="5"/>
      <c r="E460" s="5"/>
      <c r="F460" s="5"/>
      <c r="G460" s="5"/>
      <c r="H460" s="5"/>
      <c r="I460" s="5"/>
      <c r="J460" s="5"/>
    </row>
    <row r="461" spans="2:10" x14ac:dyDescent="0.25">
      <c r="B461" s="5"/>
      <c r="C461" s="5"/>
      <c r="D461" s="5"/>
      <c r="E461" s="5"/>
      <c r="F461" s="5"/>
      <c r="G461" s="5"/>
      <c r="H461" s="5"/>
      <c r="I461" s="5"/>
      <c r="J461" s="5"/>
    </row>
    <row r="462" spans="2:10" x14ac:dyDescent="0.25">
      <c r="B462" s="5"/>
      <c r="C462" s="5"/>
      <c r="D462" s="5"/>
      <c r="E462" s="5"/>
      <c r="F462" s="5"/>
      <c r="G462" s="5"/>
      <c r="H462" s="5"/>
      <c r="I462" s="5"/>
      <c r="J462" s="5"/>
    </row>
    <row r="463" spans="2:10" x14ac:dyDescent="0.25">
      <c r="B463" s="5"/>
      <c r="C463" s="5"/>
      <c r="D463" s="5"/>
      <c r="E463" s="5"/>
      <c r="F463" s="5"/>
      <c r="G463" s="5"/>
      <c r="H463" s="5"/>
      <c r="I463" s="5"/>
      <c r="J463" s="5"/>
    </row>
    <row r="464" spans="2:10" x14ac:dyDescent="0.25">
      <c r="B464" s="5"/>
      <c r="C464" s="5"/>
      <c r="D464" s="5"/>
      <c r="E464" s="5"/>
      <c r="F464" s="5"/>
      <c r="G464" s="5"/>
      <c r="H464" s="5"/>
      <c r="I464" s="5"/>
      <c r="J464" s="5"/>
    </row>
    <row r="465" spans="2:10" x14ac:dyDescent="0.25">
      <c r="B465" s="5"/>
      <c r="C465" s="5"/>
      <c r="D465" s="5"/>
      <c r="E465" s="5"/>
      <c r="F465" s="5"/>
      <c r="G465" s="5"/>
      <c r="H465" s="5"/>
      <c r="I465" s="5"/>
      <c r="J465" s="5"/>
    </row>
    <row r="466" spans="2:10" x14ac:dyDescent="0.25">
      <c r="B466" s="5"/>
      <c r="C466" s="5"/>
      <c r="D466" s="5"/>
      <c r="E466" s="5"/>
      <c r="F466" s="5"/>
      <c r="G466" s="5"/>
      <c r="H466" s="5"/>
      <c r="I466" s="5"/>
      <c r="J466" s="5"/>
    </row>
    <row r="467" spans="2:10" x14ac:dyDescent="0.25">
      <c r="B467" s="5"/>
      <c r="C467" s="5"/>
      <c r="D467" s="5"/>
      <c r="E467" s="5"/>
      <c r="F467" s="5"/>
      <c r="G467" s="5"/>
      <c r="H467" s="5"/>
      <c r="I467" s="5"/>
      <c r="J467" s="5"/>
    </row>
    <row r="468" spans="2:10" x14ac:dyDescent="0.25">
      <c r="B468" s="5"/>
      <c r="C468" s="5"/>
      <c r="D468" s="5"/>
      <c r="E468" s="5"/>
      <c r="F468" s="5"/>
      <c r="G468" s="5"/>
      <c r="H468" s="5"/>
      <c r="I468" s="5"/>
      <c r="J468" s="5"/>
    </row>
    <row r="469" spans="2:10" x14ac:dyDescent="0.25">
      <c r="B469" s="5"/>
      <c r="C469" s="5"/>
      <c r="D469" s="5"/>
      <c r="E469" s="5"/>
      <c r="F469" s="5"/>
      <c r="G469" s="5"/>
      <c r="H469" s="5"/>
      <c r="I469" s="5"/>
      <c r="J469" s="5"/>
    </row>
    <row r="470" spans="2:10" x14ac:dyDescent="0.25">
      <c r="B470" s="5"/>
      <c r="C470" s="5"/>
      <c r="D470" s="5"/>
      <c r="E470" s="5"/>
      <c r="F470" s="5"/>
      <c r="G470" s="5"/>
      <c r="H470" s="5"/>
      <c r="I470" s="5"/>
      <c r="J470" s="5"/>
    </row>
    <row r="471" spans="2:10" x14ac:dyDescent="0.25">
      <c r="B471" s="5"/>
      <c r="C471" s="5"/>
      <c r="D471" s="5"/>
      <c r="E471" s="5"/>
      <c r="F471" s="5"/>
      <c r="G471" s="5"/>
      <c r="H471" s="5"/>
      <c r="I471" s="5"/>
      <c r="J471" s="5"/>
    </row>
    <row r="472" spans="2:10" x14ac:dyDescent="0.25">
      <c r="B472" s="5"/>
      <c r="C472" s="5"/>
      <c r="D472" s="5"/>
      <c r="E472" s="5"/>
      <c r="F472" s="5"/>
      <c r="G472" s="5"/>
      <c r="H472" s="5"/>
      <c r="I472" s="5"/>
      <c r="J472" s="5"/>
    </row>
    <row r="473" spans="2:10" x14ac:dyDescent="0.25">
      <c r="B473" s="5"/>
      <c r="C473" s="5"/>
      <c r="D473" s="5"/>
      <c r="E473" s="5"/>
      <c r="F473" s="5"/>
      <c r="G473" s="5"/>
      <c r="H473" s="5"/>
      <c r="I473" s="5"/>
      <c r="J473" s="5"/>
    </row>
    <row r="474" spans="2:10" x14ac:dyDescent="0.25">
      <c r="B474" s="5"/>
      <c r="C474" s="5"/>
      <c r="D474" s="5"/>
      <c r="E474" s="5"/>
      <c r="F474" s="5"/>
      <c r="G474" s="5"/>
      <c r="H474" s="5"/>
      <c r="I474" s="5"/>
      <c r="J474" s="5"/>
    </row>
    <row r="475" spans="2:10" x14ac:dyDescent="0.25">
      <c r="B475" s="5"/>
      <c r="C475" s="5"/>
      <c r="D475" s="5"/>
      <c r="E475" s="5"/>
      <c r="F475" s="5"/>
      <c r="G475" s="5"/>
      <c r="H475" s="5"/>
      <c r="I475" s="5"/>
      <c r="J475" s="5"/>
    </row>
    <row r="476" spans="2:10" x14ac:dyDescent="0.25">
      <c r="B476" s="5"/>
      <c r="C476" s="5"/>
      <c r="D476" s="5"/>
      <c r="E476" s="5"/>
      <c r="F476" s="5"/>
      <c r="G476" s="5"/>
      <c r="H476" s="5"/>
      <c r="I476" s="5"/>
      <c r="J476" s="5"/>
    </row>
    <row r="477" spans="2:10" x14ac:dyDescent="0.25">
      <c r="B477" s="5"/>
      <c r="C477" s="5"/>
      <c r="D477" s="5"/>
      <c r="E477" s="5"/>
      <c r="F477" s="5"/>
      <c r="G477" s="5"/>
      <c r="H477" s="5"/>
      <c r="I477" s="5"/>
      <c r="J477" s="5"/>
    </row>
    <row r="478" spans="2:10" x14ac:dyDescent="0.25">
      <c r="B478" s="5"/>
      <c r="C478" s="5"/>
      <c r="D478" s="5"/>
      <c r="E478" s="5"/>
      <c r="F478" s="5"/>
      <c r="G478" s="5"/>
      <c r="H478" s="5"/>
      <c r="I478" s="5"/>
      <c r="J478" s="5"/>
    </row>
    <row r="479" spans="2:10" x14ac:dyDescent="0.25">
      <c r="B479" s="5"/>
      <c r="C479" s="5"/>
      <c r="D479" s="5"/>
      <c r="E479" s="5"/>
      <c r="F479" s="5"/>
      <c r="G479" s="5"/>
      <c r="H479" s="5"/>
      <c r="I479" s="5"/>
      <c r="J479" s="5"/>
    </row>
    <row r="480" spans="2:10" x14ac:dyDescent="0.25">
      <c r="B480" s="5"/>
      <c r="C480" s="5"/>
      <c r="D480" s="5"/>
      <c r="E480" s="5"/>
      <c r="F480" s="5"/>
      <c r="G480" s="5"/>
      <c r="H480" s="5"/>
      <c r="I480" s="5"/>
      <c r="J480" s="5"/>
    </row>
    <row r="481" spans="2:10" x14ac:dyDescent="0.25">
      <c r="B481" s="5"/>
      <c r="C481" s="5"/>
      <c r="D481" s="5"/>
      <c r="E481" s="5"/>
      <c r="F481" s="5"/>
      <c r="G481" s="5"/>
      <c r="H481" s="5"/>
      <c r="I481" s="5"/>
      <c r="J481" s="5"/>
    </row>
    <row r="482" spans="2:10" x14ac:dyDescent="0.25">
      <c r="B482" s="5"/>
      <c r="C482" s="5"/>
      <c r="D482" s="5"/>
      <c r="E482" s="5"/>
      <c r="F482" s="5"/>
      <c r="G482" s="5"/>
      <c r="H482" s="5"/>
      <c r="I482" s="5"/>
      <c r="J482" s="5"/>
    </row>
    <row r="483" spans="2:10" x14ac:dyDescent="0.25">
      <c r="B483" s="5"/>
      <c r="C483" s="5"/>
      <c r="D483" s="5"/>
      <c r="E483" s="5"/>
      <c r="F483" s="5"/>
      <c r="G483" s="5"/>
      <c r="H483" s="5"/>
      <c r="I483" s="5"/>
      <c r="J483" s="5"/>
    </row>
    <row r="484" spans="2:10" x14ac:dyDescent="0.25">
      <c r="B484" s="5"/>
      <c r="C484" s="5"/>
      <c r="D484" s="5"/>
      <c r="E484" s="5"/>
      <c r="F484" s="5"/>
      <c r="G484" s="5"/>
      <c r="H484" s="5"/>
      <c r="I484" s="5"/>
      <c r="J484" s="5"/>
    </row>
    <row r="485" spans="2:10" x14ac:dyDescent="0.25">
      <c r="B485" s="5"/>
      <c r="C485" s="5"/>
      <c r="D485" s="5"/>
      <c r="E485" s="5"/>
      <c r="F485" s="5"/>
      <c r="G485" s="5"/>
      <c r="H485" s="5"/>
      <c r="I485" s="5"/>
      <c r="J485" s="5"/>
    </row>
    <row r="486" spans="2:10" x14ac:dyDescent="0.25">
      <c r="B486" s="5"/>
      <c r="C486" s="5"/>
      <c r="D486" s="5"/>
      <c r="E486" s="5"/>
      <c r="F486" s="5"/>
      <c r="G486" s="5"/>
      <c r="H486" s="5"/>
      <c r="I486" s="5"/>
      <c r="J486" s="5"/>
    </row>
    <row r="487" spans="2:10" x14ac:dyDescent="0.25">
      <c r="B487" s="5"/>
      <c r="C487" s="5"/>
      <c r="D487" s="5"/>
      <c r="E487" s="5"/>
      <c r="F487" s="5"/>
      <c r="G487" s="5"/>
      <c r="H487" s="5"/>
      <c r="I487" s="5"/>
      <c r="J487" s="5"/>
    </row>
    <row r="488" spans="2:10" x14ac:dyDescent="0.25">
      <c r="B488" s="5"/>
      <c r="C488" s="5"/>
      <c r="D488" s="5"/>
      <c r="E488" s="5"/>
      <c r="F488" s="5"/>
      <c r="G488" s="5"/>
      <c r="H488" s="5"/>
      <c r="I488" s="5"/>
      <c r="J488" s="5"/>
    </row>
    <row r="489" spans="2:10" x14ac:dyDescent="0.25">
      <c r="B489" s="5"/>
      <c r="C489" s="5"/>
      <c r="D489" s="5"/>
      <c r="E489" s="5"/>
      <c r="F489" s="5"/>
      <c r="G489" s="5"/>
      <c r="H489" s="5"/>
      <c r="I489" s="5"/>
      <c r="J489" s="5"/>
    </row>
    <row r="490" spans="2:10" x14ac:dyDescent="0.25">
      <c r="B490" s="5"/>
      <c r="C490" s="5"/>
      <c r="D490" s="5"/>
      <c r="E490" s="5"/>
      <c r="F490" s="5"/>
      <c r="G490" s="5"/>
      <c r="H490" s="5"/>
      <c r="I490" s="5"/>
      <c r="J490" s="5"/>
    </row>
    <row r="491" spans="2:10" x14ac:dyDescent="0.25">
      <c r="B491" s="5"/>
      <c r="C491" s="5"/>
      <c r="D491" s="5"/>
      <c r="E491" s="5"/>
      <c r="F491" s="5"/>
      <c r="G491" s="5"/>
      <c r="H491" s="5"/>
      <c r="I491" s="5"/>
      <c r="J491" s="5"/>
    </row>
    <row r="492" spans="2:10" x14ac:dyDescent="0.25">
      <c r="B492" s="5"/>
      <c r="C492" s="5"/>
      <c r="D492" s="5"/>
      <c r="E492" s="5"/>
      <c r="F492" s="5"/>
      <c r="G492" s="5"/>
      <c r="H492" s="5"/>
      <c r="I492" s="5"/>
      <c r="J492" s="5"/>
    </row>
    <row r="493" spans="2:10" x14ac:dyDescent="0.25">
      <c r="B493" s="5"/>
      <c r="C493" s="5"/>
      <c r="D493" s="5"/>
      <c r="E493" s="5"/>
      <c r="F493" s="5"/>
      <c r="G493" s="5"/>
      <c r="H493" s="5"/>
      <c r="I493" s="5"/>
      <c r="J493" s="5"/>
    </row>
    <row r="494" spans="2:10" x14ac:dyDescent="0.25">
      <c r="B494" s="5"/>
      <c r="C494" s="5"/>
      <c r="D494" s="5"/>
      <c r="E494" s="5"/>
      <c r="F494" s="5"/>
      <c r="G494" s="5"/>
      <c r="H494" s="5"/>
      <c r="I494" s="5"/>
      <c r="J494" s="5"/>
    </row>
    <row r="495" spans="2:10" x14ac:dyDescent="0.25">
      <c r="B495" s="5"/>
      <c r="C495" s="5"/>
      <c r="D495" s="5"/>
      <c r="E495" s="5"/>
      <c r="F495" s="5"/>
      <c r="G495" s="5"/>
      <c r="H495" s="5"/>
      <c r="I495" s="5"/>
      <c r="J495" s="5"/>
    </row>
    <row r="496" spans="2:10" x14ac:dyDescent="0.25">
      <c r="B496" s="5"/>
      <c r="C496" s="5"/>
      <c r="D496" s="5"/>
      <c r="E496" s="5"/>
      <c r="F496" s="5"/>
      <c r="G496" s="5"/>
      <c r="H496" s="5"/>
      <c r="I496" s="5"/>
      <c r="J496" s="5"/>
    </row>
    <row r="497" spans="2:10" x14ac:dyDescent="0.25">
      <c r="B497" s="5"/>
      <c r="C497" s="5"/>
      <c r="D497" s="5"/>
      <c r="E497" s="5"/>
      <c r="F497" s="5"/>
      <c r="G497" s="5"/>
      <c r="H497" s="5"/>
      <c r="I497" s="5"/>
      <c r="J497" s="5"/>
    </row>
    <row r="498" spans="2:10" x14ac:dyDescent="0.25">
      <c r="B498" s="5"/>
      <c r="C498" s="5"/>
      <c r="D498" s="5"/>
      <c r="E498" s="5"/>
      <c r="F498" s="5"/>
      <c r="G498" s="5"/>
      <c r="H498" s="5"/>
      <c r="I498" s="5"/>
      <c r="J498" s="5"/>
    </row>
    <row r="499" spans="2:10" x14ac:dyDescent="0.25">
      <c r="B499" s="5"/>
      <c r="C499" s="5"/>
      <c r="D499" s="5"/>
      <c r="E499" s="5"/>
      <c r="F499" s="5"/>
      <c r="G499" s="5"/>
      <c r="H499" s="5"/>
      <c r="I499" s="5"/>
      <c r="J499" s="5"/>
    </row>
    <row r="500" spans="2:10" x14ac:dyDescent="0.25">
      <c r="B500" s="5"/>
      <c r="C500" s="5"/>
      <c r="D500" s="5"/>
      <c r="E500" s="5"/>
      <c r="F500" s="5"/>
      <c r="G500" s="5"/>
      <c r="H500" s="5"/>
      <c r="I500" s="5"/>
      <c r="J500" s="5"/>
    </row>
    <row r="501" spans="2:10" x14ac:dyDescent="0.25">
      <c r="B501" s="5"/>
      <c r="C501" s="5"/>
      <c r="D501" s="5"/>
      <c r="E501" s="5"/>
      <c r="F501" s="5"/>
      <c r="G501" s="5"/>
      <c r="H501" s="5"/>
      <c r="I501" s="5"/>
      <c r="J501" s="5"/>
    </row>
    <row r="502" spans="2:10" x14ac:dyDescent="0.25">
      <c r="B502" s="5"/>
      <c r="C502" s="5"/>
      <c r="D502" s="5"/>
      <c r="E502" s="5"/>
      <c r="F502" s="5"/>
      <c r="G502" s="5"/>
      <c r="H502" s="5"/>
      <c r="I502" s="5"/>
      <c r="J502" s="5"/>
    </row>
    <row r="503" spans="2:10" x14ac:dyDescent="0.25">
      <c r="B503" s="5"/>
      <c r="C503" s="5"/>
      <c r="D503" s="5"/>
      <c r="E503" s="5"/>
      <c r="F503" s="5"/>
      <c r="G503" s="5"/>
      <c r="H503" s="5"/>
      <c r="I503" s="5"/>
      <c r="J503" s="5"/>
    </row>
    <row r="504" spans="2:10" x14ac:dyDescent="0.25">
      <c r="B504" s="5"/>
      <c r="C504" s="5"/>
      <c r="D504" s="5"/>
      <c r="E504" s="5"/>
      <c r="F504" s="5"/>
      <c r="G504" s="5"/>
      <c r="H504" s="5"/>
      <c r="I504" s="5"/>
      <c r="J504" s="5"/>
    </row>
    <row r="505" spans="2:10" x14ac:dyDescent="0.25">
      <c r="B505" s="5"/>
      <c r="C505" s="5"/>
      <c r="D505" s="5"/>
      <c r="E505" s="5"/>
      <c r="F505" s="5"/>
      <c r="G505" s="5"/>
      <c r="H505" s="5"/>
      <c r="I505" s="5"/>
      <c r="J505" s="5"/>
    </row>
    <row r="506" spans="2:10" x14ac:dyDescent="0.25">
      <c r="B506" s="5"/>
      <c r="C506" s="5"/>
      <c r="D506" s="5"/>
      <c r="E506" s="5"/>
      <c r="F506" s="5"/>
      <c r="G506" s="5"/>
      <c r="H506" s="5"/>
      <c r="I506" s="5"/>
      <c r="J506" s="5"/>
    </row>
    <row r="507" spans="2:10" x14ac:dyDescent="0.25">
      <c r="B507" s="5"/>
      <c r="C507" s="5"/>
      <c r="D507" s="5"/>
      <c r="E507" s="5"/>
      <c r="F507" s="5"/>
      <c r="G507" s="5"/>
      <c r="H507" s="5"/>
      <c r="I507" s="5"/>
      <c r="J507" s="5"/>
    </row>
    <row r="508" spans="2:10" x14ac:dyDescent="0.25">
      <c r="B508" s="5"/>
      <c r="C508" s="5"/>
      <c r="D508" s="5"/>
      <c r="E508" s="5"/>
      <c r="F508" s="5"/>
      <c r="G508" s="5"/>
      <c r="H508" s="5"/>
      <c r="I508" s="5"/>
      <c r="J508" s="5"/>
    </row>
    <row r="509" spans="2:10" x14ac:dyDescent="0.25">
      <c r="B509" s="5"/>
      <c r="C509" s="5"/>
      <c r="D509" s="5"/>
      <c r="E509" s="5"/>
      <c r="F509" s="5"/>
      <c r="G509" s="5"/>
      <c r="H509" s="5"/>
      <c r="I509" s="5"/>
      <c r="J509" s="5"/>
    </row>
    <row r="510" spans="2:10" x14ac:dyDescent="0.25">
      <c r="B510" s="5"/>
      <c r="C510" s="5"/>
      <c r="D510" s="5"/>
      <c r="E510" s="5"/>
      <c r="F510" s="5"/>
      <c r="G510" s="5"/>
      <c r="H510" s="5"/>
      <c r="I510" s="5"/>
      <c r="J510" s="5"/>
    </row>
    <row r="511" spans="2:10" x14ac:dyDescent="0.25">
      <c r="B511" s="5"/>
      <c r="C511" s="5"/>
      <c r="D511" s="5"/>
      <c r="E511" s="5"/>
      <c r="F511" s="5"/>
      <c r="G511" s="5"/>
      <c r="H511" s="5"/>
      <c r="I511" s="5"/>
      <c r="J511" s="5"/>
    </row>
    <row r="512" spans="2:10" x14ac:dyDescent="0.25">
      <c r="B512" s="5"/>
      <c r="C512" s="5"/>
      <c r="D512" s="5"/>
      <c r="E512" s="5"/>
      <c r="F512" s="5"/>
      <c r="G512" s="5"/>
      <c r="H512" s="5"/>
      <c r="I512" s="5"/>
      <c r="J512" s="5"/>
    </row>
    <row r="513" spans="2:10" x14ac:dyDescent="0.25">
      <c r="B513" s="5"/>
      <c r="C513" s="5"/>
      <c r="D513" s="5"/>
      <c r="E513" s="5"/>
      <c r="F513" s="5"/>
      <c r="G513" s="5"/>
      <c r="H513" s="5"/>
      <c r="I513" s="5"/>
      <c r="J513" s="5"/>
    </row>
    <row r="514" spans="2:10" x14ac:dyDescent="0.25">
      <c r="B514" s="5"/>
      <c r="C514" s="5"/>
      <c r="D514" s="5"/>
      <c r="E514" s="5"/>
      <c r="F514" s="5"/>
      <c r="G514" s="5"/>
      <c r="H514" s="5"/>
      <c r="I514" s="5"/>
      <c r="J514" s="5"/>
    </row>
    <row r="515" spans="2:10" x14ac:dyDescent="0.25">
      <c r="B515" s="5"/>
      <c r="C515" s="5"/>
      <c r="D515" s="5"/>
      <c r="E515" s="5"/>
      <c r="F515" s="5"/>
      <c r="G515" s="5"/>
      <c r="H515" s="5"/>
      <c r="I515" s="5"/>
      <c r="J515" s="5"/>
    </row>
    <row r="516" spans="2:10" x14ac:dyDescent="0.25">
      <c r="B516" s="5"/>
      <c r="C516" s="5"/>
      <c r="D516" s="5"/>
      <c r="E516" s="5"/>
      <c r="F516" s="5"/>
      <c r="G516" s="5"/>
      <c r="H516" s="5"/>
      <c r="I516" s="5"/>
      <c r="J516" s="5"/>
    </row>
    <row r="517" spans="2:10" x14ac:dyDescent="0.25">
      <c r="B517" s="5"/>
      <c r="C517" s="5"/>
      <c r="D517" s="5"/>
      <c r="E517" s="5"/>
      <c r="F517" s="5"/>
      <c r="G517" s="5"/>
      <c r="H517" s="5"/>
      <c r="I517" s="5"/>
      <c r="J517" s="5"/>
    </row>
    <row r="518" spans="2:10" x14ac:dyDescent="0.25">
      <c r="B518" s="5"/>
      <c r="C518" s="5"/>
      <c r="D518" s="5"/>
      <c r="E518" s="5"/>
      <c r="F518" s="5"/>
      <c r="G518" s="5"/>
      <c r="H518" s="5"/>
      <c r="I518" s="5"/>
      <c r="J518" s="5"/>
    </row>
    <row r="519" spans="2:10" x14ac:dyDescent="0.25">
      <c r="B519" s="5"/>
      <c r="C519" s="5"/>
      <c r="D519" s="5"/>
      <c r="E519" s="5"/>
      <c r="F519" s="5"/>
      <c r="G519" s="5"/>
      <c r="H519" s="5"/>
      <c r="I519" s="5"/>
      <c r="J519" s="5"/>
    </row>
    <row r="520" spans="2:10" x14ac:dyDescent="0.25">
      <c r="B520" s="5"/>
      <c r="C520" s="5"/>
      <c r="D520" s="5"/>
      <c r="E520" s="5"/>
      <c r="F520" s="5"/>
      <c r="G520" s="5"/>
      <c r="H520" s="5"/>
      <c r="I520" s="5"/>
      <c r="J520" s="5"/>
    </row>
    <row r="521" spans="2:10" x14ac:dyDescent="0.25">
      <c r="B521" s="5"/>
      <c r="C521" s="5"/>
      <c r="D521" s="5"/>
      <c r="E521" s="5"/>
      <c r="F521" s="5"/>
      <c r="G521" s="5"/>
      <c r="H521" s="5"/>
      <c r="I521" s="5"/>
      <c r="J521" s="5"/>
    </row>
    <row r="522" spans="2:10" x14ac:dyDescent="0.25">
      <c r="B522" s="5"/>
      <c r="C522" s="5"/>
      <c r="D522" s="5"/>
      <c r="E522" s="5"/>
      <c r="F522" s="5"/>
      <c r="G522" s="5"/>
      <c r="H522" s="5"/>
      <c r="I522" s="5"/>
      <c r="J522" s="5"/>
    </row>
    <row r="523" spans="2:10" x14ac:dyDescent="0.25">
      <c r="B523" s="5"/>
      <c r="C523" s="5"/>
      <c r="D523" s="5"/>
      <c r="E523" s="5"/>
      <c r="F523" s="5"/>
      <c r="G523" s="5"/>
      <c r="H523" s="5"/>
      <c r="I523" s="5"/>
      <c r="J523" s="5"/>
    </row>
    <row r="524" spans="2:10" x14ac:dyDescent="0.25">
      <c r="B524" s="5"/>
      <c r="C524" s="5"/>
      <c r="D524" s="5"/>
      <c r="E524" s="5"/>
      <c r="F524" s="5"/>
      <c r="G524" s="5"/>
      <c r="H524" s="5"/>
      <c r="I524" s="5"/>
      <c r="J524" s="5"/>
    </row>
    <row r="525" spans="2:10" x14ac:dyDescent="0.25">
      <c r="B525" s="5"/>
      <c r="C525" s="5"/>
      <c r="D525" s="5"/>
      <c r="E525" s="5"/>
      <c r="F525" s="5"/>
      <c r="G525" s="5"/>
      <c r="H525" s="5"/>
      <c r="I525" s="5"/>
      <c r="J525" s="5"/>
    </row>
    <row r="526" spans="2:10" x14ac:dyDescent="0.25">
      <c r="B526" s="5"/>
      <c r="C526" s="5"/>
      <c r="D526" s="5"/>
      <c r="E526" s="5"/>
      <c r="F526" s="5"/>
      <c r="G526" s="5"/>
      <c r="H526" s="5"/>
      <c r="I526" s="5"/>
      <c r="J526" s="5"/>
    </row>
    <row r="527" spans="2:10" x14ac:dyDescent="0.25">
      <c r="B527" s="5"/>
      <c r="C527" s="5"/>
      <c r="D527" s="5"/>
      <c r="E527" s="5"/>
      <c r="F527" s="5"/>
      <c r="G527" s="5"/>
      <c r="H527" s="5"/>
      <c r="I527" s="5"/>
      <c r="J527" s="5"/>
    </row>
    <row r="528" spans="2:10" x14ac:dyDescent="0.25">
      <c r="B528" s="5"/>
      <c r="C528" s="5"/>
      <c r="D528" s="5"/>
      <c r="E528" s="5"/>
      <c r="F528" s="5"/>
      <c r="G528" s="5"/>
      <c r="H528" s="5"/>
      <c r="I528" s="5"/>
      <c r="J528" s="5"/>
    </row>
    <row r="529" spans="2:10" x14ac:dyDescent="0.25">
      <c r="B529" s="5"/>
      <c r="C529" s="5"/>
      <c r="D529" s="5"/>
      <c r="E529" s="5"/>
      <c r="F529" s="5"/>
      <c r="G529" s="5"/>
      <c r="H529" s="5"/>
      <c r="I529" s="5"/>
      <c r="J529" s="5"/>
    </row>
    <row r="530" spans="2:10" x14ac:dyDescent="0.25">
      <c r="B530" s="5"/>
      <c r="C530" s="5"/>
      <c r="D530" s="5"/>
      <c r="E530" s="5"/>
      <c r="F530" s="5"/>
      <c r="G530" s="5"/>
      <c r="H530" s="5"/>
      <c r="I530" s="5"/>
      <c r="J530" s="5"/>
    </row>
    <row r="531" spans="2:10" x14ac:dyDescent="0.25">
      <c r="B531" s="5"/>
      <c r="C531" s="5"/>
      <c r="D531" s="5"/>
      <c r="E531" s="5"/>
      <c r="F531" s="5"/>
      <c r="G531" s="5"/>
      <c r="H531" s="5"/>
      <c r="I531" s="5"/>
      <c r="J531" s="5"/>
    </row>
    <row r="532" spans="2:10" x14ac:dyDescent="0.25">
      <c r="B532" s="5"/>
      <c r="C532" s="5"/>
      <c r="D532" s="5"/>
      <c r="E532" s="5"/>
      <c r="F532" s="5"/>
      <c r="G532" s="5"/>
      <c r="H532" s="5"/>
      <c r="I532" s="5"/>
      <c r="J532" s="5"/>
    </row>
    <row r="533" spans="2:10" x14ac:dyDescent="0.25">
      <c r="B533" s="5"/>
      <c r="C533" s="5"/>
      <c r="D533" s="5"/>
      <c r="E533" s="5"/>
      <c r="F533" s="5"/>
      <c r="G533" s="5"/>
      <c r="H533" s="5"/>
      <c r="I533" s="5"/>
      <c r="J533" s="5"/>
    </row>
    <row r="534" spans="2:10" x14ac:dyDescent="0.25">
      <c r="B534" s="5"/>
      <c r="C534" s="5"/>
      <c r="D534" s="5"/>
      <c r="E534" s="5"/>
      <c r="F534" s="5"/>
      <c r="G534" s="5"/>
      <c r="H534" s="5"/>
      <c r="I534" s="5"/>
      <c r="J534" s="5"/>
    </row>
    <row r="535" spans="2:10" x14ac:dyDescent="0.25">
      <c r="B535" s="5"/>
      <c r="C535" s="5"/>
      <c r="D535" s="5"/>
      <c r="E535" s="5"/>
      <c r="F535" s="5"/>
      <c r="G535" s="5"/>
      <c r="H535" s="5"/>
      <c r="I535" s="5"/>
      <c r="J535" s="5"/>
    </row>
    <row r="536" spans="2:10" x14ac:dyDescent="0.25">
      <c r="B536" s="5"/>
      <c r="C536" s="5"/>
      <c r="D536" s="5"/>
      <c r="E536" s="5"/>
      <c r="F536" s="5"/>
      <c r="G536" s="5"/>
      <c r="H536" s="5"/>
      <c r="I536" s="5"/>
      <c r="J536" s="5"/>
    </row>
    <row r="537" spans="2:10" x14ac:dyDescent="0.25">
      <c r="B537" s="5"/>
      <c r="C537" s="5"/>
      <c r="D537" s="5"/>
      <c r="E537" s="5"/>
      <c r="F537" s="5"/>
      <c r="G537" s="5"/>
      <c r="H537" s="5"/>
      <c r="I537" s="5"/>
      <c r="J537" s="5"/>
    </row>
    <row r="538" spans="2:10" x14ac:dyDescent="0.25">
      <c r="B538" s="5"/>
      <c r="C538" s="5"/>
      <c r="D538" s="5"/>
      <c r="E538" s="5"/>
      <c r="F538" s="5"/>
      <c r="G538" s="5"/>
      <c r="H538" s="5"/>
      <c r="I538" s="5"/>
      <c r="J538" s="5"/>
    </row>
    <row r="539" spans="2:10" x14ac:dyDescent="0.25">
      <c r="B539" s="5"/>
      <c r="C539" s="5"/>
      <c r="D539" s="5"/>
      <c r="E539" s="5"/>
      <c r="F539" s="5"/>
      <c r="G539" s="5"/>
      <c r="H539" s="5"/>
      <c r="I539" s="5"/>
      <c r="J539" s="5"/>
    </row>
    <row r="540" spans="2:10" x14ac:dyDescent="0.25">
      <c r="B540" s="5"/>
      <c r="C540" s="5"/>
      <c r="D540" s="5"/>
      <c r="E540" s="5"/>
      <c r="F540" s="5"/>
      <c r="G540" s="5"/>
      <c r="H540" s="5"/>
      <c r="I540" s="5"/>
      <c r="J540" s="5"/>
    </row>
    <row r="541" spans="2:10" x14ac:dyDescent="0.25">
      <c r="B541" s="5"/>
      <c r="C541" s="5"/>
      <c r="D541" s="5"/>
      <c r="E541" s="5"/>
      <c r="F541" s="5"/>
      <c r="G541" s="5"/>
      <c r="H541" s="5"/>
      <c r="I541" s="5"/>
      <c r="J541" s="5"/>
    </row>
    <row r="542" spans="2:10" x14ac:dyDescent="0.25">
      <c r="B542" s="5"/>
      <c r="C542" s="5"/>
      <c r="D542" s="5"/>
      <c r="E542" s="5"/>
      <c r="F542" s="5"/>
      <c r="G542" s="5"/>
      <c r="H542" s="5"/>
      <c r="I542" s="5"/>
      <c r="J542" s="5"/>
    </row>
    <row r="543" spans="2:10" x14ac:dyDescent="0.25">
      <c r="B543" s="5"/>
      <c r="C543" s="5"/>
      <c r="D543" s="5"/>
      <c r="E543" s="5"/>
      <c r="F543" s="5"/>
      <c r="G543" s="5"/>
      <c r="H543" s="5"/>
      <c r="I543" s="5"/>
      <c r="J543" s="5"/>
    </row>
  </sheetData>
  <conditionalFormatting sqref="B3">
    <cfRule type="duplicateValues" dxfId="30" priority="1"/>
  </conditionalFormatting>
  <hyperlinks>
    <hyperlink ref="B3" location="SUMMARY!A1" display="Dcns Olaniawo" xr:uid="{C185652D-B726-4476-BB1C-FC3AB7EBE67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C85-B76F-4D97-8FD5-646781AC5118}">
  <dimension ref="A1:J287"/>
  <sheetViews>
    <sheetView workbookViewId="0">
      <selection activeCell="B3" sqref="B3"/>
    </sheetView>
  </sheetViews>
  <sheetFormatPr defaultRowHeight="15" x14ac:dyDescent="0.25"/>
  <cols>
    <col min="1" max="1" width="11.28515625" customWidth="1"/>
    <col min="3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107</v>
      </c>
      <c r="C3" s="5"/>
      <c r="D3" t="s">
        <v>109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1684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</sheetData>
  <conditionalFormatting sqref="B3">
    <cfRule type="duplicateValues" dxfId="29" priority="1"/>
  </conditionalFormatting>
  <hyperlinks>
    <hyperlink ref="B3" location="SUMMARY!A1" display="Sis Alfred Rachel" xr:uid="{667B9C26-1855-41E1-803E-04119F16A8F4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9F29-993A-4974-A5C3-80C4B04FE16D}">
  <dimension ref="A1:J26"/>
  <sheetViews>
    <sheetView workbookViewId="0">
      <selection activeCell="B3" sqref="B3"/>
    </sheetView>
  </sheetViews>
  <sheetFormatPr defaultRowHeight="15" x14ac:dyDescent="0.25"/>
  <cols>
    <col min="1" max="1" width="12" customWidth="1"/>
    <col min="4" max="4" width="9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50</v>
      </c>
      <c r="D3" t="s">
        <v>110</v>
      </c>
    </row>
    <row r="4" spans="1:10" x14ac:dyDescent="0.25">
      <c r="A4" s="1" t="s">
        <v>3</v>
      </c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3600</v>
      </c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</sheetData>
  <conditionalFormatting sqref="B3">
    <cfRule type="duplicateValues" dxfId="28" priority="1"/>
  </conditionalFormatting>
  <hyperlinks>
    <hyperlink ref="B3" location="SUMMARY!A1" display="Bro. Alfred Victor" xr:uid="{EDEB389E-4E6D-4634-AE10-EA172DA6CA1B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63D3-BD24-4D20-8AC7-FDC91172426A}">
  <dimension ref="A1:J303"/>
  <sheetViews>
    <sheetView workbookViewId="0">
      <selection activeCell="B3" sqref="B3"/>
    </sheetView>
  </sheetViews>
  <sheetFormatPr defaultRowHeight="15" x14ac:dyDescent="0.25"/>
  <cols>
    <col min="1" max="1" width="12.7109375" customWidth="1"/>
    <col min="3" max="3" width="10.5703125" bestFit="1" customWidth="1"/>
    <col min="4" max="4" width="11.5703125" bestFit="1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111</v>
      </c>
      <c r="D3" t="s">
        <v>118</v>
      </c>
    </row>
    <row r="4" spans="1:10" x14ac:dyDescent="0.25">
      <c r="A4" s="1" t="s">
        <v>3</v>
      </c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5050</v>
      </c>
      <c r="E8" s="5"/>
      <c r="F8" s="5"/>
      <c r="G8" s="5"/>
      <c r="H8" s="5"/>
      <c r="I8" s="5"/>
      <c r="J8" s="5"/>
    </row>
    <row r="9" spans="1:10" x14ac:dyDescent="0.25">
      <c r="A9" s="3">
        <v>46061</v>
      </c>
      <c r="B9" s="5"/>
      <c r="C9" s="5">
        <v>50000</v>
      </c>
      <c r="D9" s="5">
        <f>+D8+C9</f>
        <v>55050</v>
      </c>
      <c r="E9" s="5"/>
      <c r="F9" s="5"/>
      <c r="G9" s="5"/>
      <c r="H9" s="5"/>
      <c r="I9" s="5"/>
      <c r="J9" s="5"/>
    </row>
    <row r="10" spans="1:10" x14ac:dyDescent="0.25">
      <c r="A10" s="3">
        <v>46089</v>
      </c>
      <c r="B10" s="5"/>
      <c r="C10" s="5">
        <v>50000</v>
      </c>
      <c r="D10" s="5">
        <f>+D9+C10</f>
        <v>105050</v>
      </c>
      <c r="E10" s="5"/>
      <c r="F10" s="5"/>
      <c r="G10" s="5"/>
      <c r="H10" s="5"/>
      <c r="I10" s="5"/>
      <c r="J10" s="5"/>
    </row>
    <row r="11" spans="1:10" x14ac:dyDescent="0.25">
      <c r="A11" s="3">
        <v>46122</v>
      </c>
      <c r="B11" s="5"/>
      <c r="C11" s="5">
        <v>50000</v>
      </c>
      <c r="D11" s="5">
        <f>+D10+C11</f>
        <v>155050</v>
      </c>
      <c r="E11" s="5"/>
      <c r="F11" s="5"/>
      <c r="G11" s="5"/>
      <c r="H11" s="5"/>
      <c r="I11" s="5"/>
      <c r="J11" s="5"/>
    </row>
    <row r="12" spans="1:10" x14ac:dyDescent="0.25">
      <c r="A12" s="3">
        <v>46159</v>
      </c>
      <c r="B12" s="5"/>
      <c r="C12" s="5">
        <v>50000</v>
      </c>
      <c r="D12" s="5">
        <f>+D11+C12</f>
        <v>205050</v>
      </c>
      <c r="E12" s="5"/>
      <c r="F12" s="5"/>
      <c r="G12" s="5"/>
      <c r="H12" s="5"/>
      <c r="I12" s="5"/>
      <c r="J12" s="5"/>
    </row>
    <row r="13" spans="1:10" x14ac:dyDescent="0.25">
      <c r="A13" s="3">
        <v>46172</v>
      </c>
      <c r="B13" s="5"/>
      <c r="C13" s="5">
        <v>50000</v>
      </c>
      <c r="D13" s="5">
        <f>+D12+C13</f>
        <v>255050</v>
      </c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2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2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2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2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2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2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2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2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2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2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2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2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2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2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2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2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2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2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2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2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2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2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2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2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2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2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2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2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2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2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2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2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2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2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2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2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2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2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2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2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2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2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2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2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2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2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2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2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2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2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2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2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2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2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2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2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2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2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2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2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2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2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2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2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2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2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2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2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2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2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2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2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2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2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2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2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2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2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2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2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2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2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2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2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2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2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2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2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2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2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2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2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2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2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2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2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2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2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2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2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2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2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2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25">
      <c r="B303" s="5"/>
      <c r="C303" s="5"/>
      <c r="D303" s="5"/>
      <c r="E303" s="5"/>
      <c r="F303" s="5"/>
      <c r="G303" s="5"/>
      <c r="H303" s="5"/>
      <c r="I303" s="5"/>
      <c r="J303" s="5"/>
    </row>
  </sheetData>
  <conditionalFormatting sqref="B3">
    <cfRule type="duplicateValues" dxfId="27" priority="1"/>
  </conditionalFormatting>
  <hyperlinks>
    <hyperlink ref="B3" location="SUMMARY!A1" display="Sis. M.O. Eniwaye" xr:uid="{7C8B57F2-B1E6-45A7-A9C2-7175E9BEB9BA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48EA-BA8E-423B-AACC-754D687F20AC}">
  <dimension ref="A1:J32"/>
  <sheetViews>
    <sheetView workbookViewId="0"/>
  </sheetViews>
  <sheetFormatPr defaultRowHeight="15" x14ac:dyDescent="0.25"/>
  <cols>
    <col min="1" max="1" width="11.285156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112</v>
      </c>
      <c r="D3" t="s">
        <v>119</v>
      </c>
    </row>
    <row r="4" spans="1:10" x14ac:dyDescent="0.25">
      <c r="A4" s="1" t="s">
        <v>3</v>
      </c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</sheetData>
  <conditionalFormatting sqref="B3">
    <cfRule type="duplicateValues" dxfId="26" priority="1"/>
  </conditionalFormatting>
  <hyperlinks>
    <hyperlink ref="B3" location="SUMMARY!A1" display="Sis. Tosin Matthew" xr:uid="{B1FDE109-97E5-4422-A032-2B5A354EFA6E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4DDD-9B0E-4CEA-96F4-E44192A91116}">
  <dimension ref="A1:J8"/>
  <sheetViews>
    <sheetView workbookViewId="0">
      <selection activeCell="D8" sqref="D8"/>
    </sheetView>
  </sheetViews>
  <sheetFormatPr defaultRowHeight="15" x14ac:dyDescent="0.25"/>
  <cols>
    <col min="1" max="1" width="13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113</v>
      </c>
      <c r="D3" t="s">
        <v>120</v>
      </c>
    </row>
    <row r="4" spans="1:10" x14ac:dyDescent="0.25">
      <c r="A4" s="1" t="s">
        <v>3</v>
      </c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</row>
  </sheetData>
  <conditionalFormatting sqref="B3">
    <cfRule type="duplicateValues" dxfId="25" priority="1"/>
  </conditionalFormatting>
  <hyperlinks>
    <hyperlink ref="B3" location="SUMMARY!A1" display="Sis. Taiwo Ibikunle" xr:uid="{16AEE3B2-9AC1-4612-BC73-F1639F8E32FC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A073-5956-4473-94A1-0D3B6A5B130C}">
  <dimension ref="A1:J8"/>
  <sheetViews>
    <sheetView workbookViewId="0">
      <selection activeCell="D4" sqref="D4"/>
    </sheetView>
  </sheetViews>
  <sheetFormatPr defaultRowHeight="15" x14ac:dyDescent="0.25"/>
  <cols>
    <col min="1" max="1" width="11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114</v>
      </c>
      <c r="D3" t="s">
        <v>121</v>
      </c>
    </row>
    <row r="4" spans="1:10" x14ac:dyDescent="0.25">
      <c r="A4" s="1" t="s">
        <v>3</v>
      </c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</row>
  </sheetData>
  <conditionalFormatting sqref="B3">
    <cfRule type="duplicateValues" dxfId="24" priority="1"/>
  </conditionalFormatting>
  <hyperlinks>
    <hyperlink ref="B3" location="SUMMARY!A1" display="O/S Ayodele" xr:uid="{EBC84C19-3E78-4DF8-A485-940EE881BC5F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EF9B-725A-4B82-86F5-B51E1D5D1831}">
  <dimension ref="A1:K143"/>
  <sheetViews>
    <sheetView workbookViewId="0"/>
  </sheetViews>
  <sheetFormatPr defaultRowHeight="15" x14ac:dyDescent="0.25"/>
  <cols>
    <col min="1" max="1" width="12.85546875" customWidth="1"/>
    <col min="3" max="3" width="9.5703125" bestFit="1" customWidth="1"/>
    <col min="4" max="4" width="10.7109375" bestFit="1" customWidth="1"/>
  </cols>
  <sheetData>
    <row r="1" spans="1:11" x14ac:dyDescent="0.25">
      <c r="A1" s="1" t="s">
        <v>0</v>
      </c>
    </row>
    <row r="2" spans="1:11" x14ac:dyDescent="0.25">
      <c r="A2" s="1" t="s">
        <v>1</v>
      </c>
    </row>
    <row r="3" spans="1:11" x14ac:dyDescent="0.25">
      <c r="A3" s="1" t="s">
        <v>2</v>
      </c>
      <c r="B3" s="19" t="s">
        <v>115</v>
      </c>
      <c r="D3" t="s">
        <v>122</v>
      </c>
    </row>
    <row r="4" spans="1:11" x14ac:dyDescent="0.25">
      <c r="A4" s="1" t="s">
        <v>3</v>
      </c>
    </row>
    <row r="6" spans="1:11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1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1" x14ac:dyDescent="0.25">
      <c r="A8" s="3">
        <v>45747</v>
      </c>
      <c r="B8" s="5"/>
      <c r="C8" s="5"/>
      <c r="D8" s="5">
        <v>21320</v>
      </c>
      <c r="E8" s="5"/>
      <c r="F8" s="5"/>
      <c r="G8" s="5"/>
      <c r="H8" s="5"/>
      <c r="I8" s="5"/>
      <c r="J8" s="5"/>
      <c r="K8" s="5"/>
    </row>
    <row r="9" spans="1:11" x14ac:dyDescent="0.25">
      <c r="A9" s="3">
        <v>46111</v>
      </c>
      <c r="B9" s="5"/>
      <c r="C9" s="5">
        <v>5000</v>
      </c>
      <c r="D9" s="5">
        <f>+D8+C9</f>
        <v>26320</v>
      </c>
      <c r="E9" s="5"/>
      <c r="F9" s="5"/>
      <c r="G9" s="5"/>
      <c r="H9" s="5"/>
      <c r="I9" s="5"/>
      <c r="J9" s="5"/>
      <c r="K9" s="5"/>
    </row>
    <row r="10" spans="1:11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2:11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2:1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2:11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2:1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2:11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2:11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2:11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2:11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2:11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2:11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2:11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2:11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2:11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2:11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2:11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2:11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2:11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2:11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2:11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2:11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2:11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2:11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2:11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2:1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2:11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2:11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2:11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2:11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2:11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2:11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2:11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2:11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2:11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2:11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2:11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2:11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2:11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2:11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2:11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2:11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2:11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2:11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2:11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2:11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2:11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2:11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2:11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2:11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2:11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2:11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2:11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2:11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2:11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2:11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2:11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2:11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2:11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2:11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2:11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2:11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2:11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2:11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2:11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2:11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2:11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2:11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2:11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2:11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2:11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2:11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2:11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2:11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2:11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2:11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2:11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2:11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2:11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2:11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2:11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2:11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2:11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2:11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2:11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2:11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2:11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2:11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2:11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2:11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2:11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2:11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2:11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2:11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2:11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2:11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2:11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2:1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2:11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2:1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2:1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2:11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2:1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2:11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2:11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2:11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2:11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2:11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2:11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2:11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2:11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2:11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2:11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2:11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2:11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2:11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2:11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2:11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2:11" x14ac:dyDescent="0.25">
      <c r="D136" s="5"/>
    </row>
    <row r="137" spans="2:11" x14ac:dyDescent="0.25">
      <c r="D137" s="5"/>
    </row>
    <row r="138" spans="2:11" x14ac:dyDescent="0.25">
      <c r="D138" s="5"/>
    </row>
    <row r="139" spans="2:11" x14ac:dyDescent="0.25">
      <c r="D139" s="5"/>
    </row>
    <row r="140" spans="2:11" x14ac:dyDescent="0.25">
      <c r="D140" s="5"/>
    </row>
    <row r="141" spans="2:11" x14ac:dyDescent="0.25">
      <c r="D141" s="5"/>
    </row>
    <row r="142" spans="2:11" x14ac:dyDescent="0.25">
      <c r="D142" s="5"/>
    </row>
    <row r="143" spans="2:11" x14ac:dyDescent="0.25">
      <c r="D143" s="5"/>
    </row>
  </sheetData>
  <conditionalFormatting sqref="B3">
    <cfRule type="duplicateValues" dxfId="23" priority="1"/>
  </conditionalFormatting>
  <hyperlinks>
    <hyperlink ref="B3" location="SUMMARY!A1" display="Dcns A.O. Peter" xr:uid="{32CB7209-8245-478C-BB5B-CF14DC090ACB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33C4-35F8-40DB-98C3-264AD888FEA8}">
  <dimension ref="A1:J8"/>
  <sheetViews>
    <sheetView workbookViewId="0">
      <selection activeCell="D3" sqref="D3"/>
    </sheetView>
  </sheetViews>
  <sheetFormatPr defaultRowHeight="15" x14ac:dyDescent="0.25"/>
  <cols>
    <col min="1" max="1" width="14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s="19" t="s">
        <v>116</v>
      </c>
      <c r="D3" t="s">
        <v>123</v>
      </c>
    </row>
    <row r="4" spans="1:10" x14ac:dyDescent="0.25">
      <c r="A4" s="1" t="s">
        <v>3</v>
      </c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</row>
  </sheetData>
  <conditionalFormatting sqref="B3">
    <cfRule type="duplicateValues" dxfId="22" priority="1"/>
  </conditionalFormatting>
  <hyperlinks>
    <hyperlink ref="B3" location="SUMMARY!A1" display="Dns Grace Ukpong" xr:uid="{CA2CCA77-BDA5-45D3-8C4B-ECB4C87185A9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BC5E-FB39-4543-9638-0843DF9FE96F}">
  <dimension ref="A1:J137"/>
  <sheetViews>
    <sheetView workbookViewId="0">
      <selection activeCell="B3" sqref="B3"/>
    </sheetView>
  </sheetViews>
  <sheetFormatPr defaultRowHeight="15" x14ac:dyDescent="0.25"/>
  <cols>
    <col min="1" max="1" width="13.140625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38</v>
      </c>
      <c r="C3" s="5"/>
      <c r="D3" t="s">
        <v>127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1000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>
        <v>0</v>
      </c>
      <c r="E8" s="5"/>
      <c r="F8" s="5"/>
      <c r="G8" s="5"/>
      <c r="H8" s="5"/>
      <c r="I8" s="5"/>
      <c r="J8" s="5"/>
    </row>
    <row r="9" spans="1:10" x14ac:dyDescent="0.25">
      <c r="A9" s="3">
        <v>46020</v>
      </c>
      <c r="B9" s="5"/>
      <c r="C9" s="5">
        <v>5000</v>
      </c>
      <c r="D9" s="5">
        <f>+D8+C9</f>
        <v>5000</v>
      </c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</sheetData>
  <hyperlinks>
    <hyperlink ref="B3" location="SUMMARY!A1" display="Bro. M.O. Eniwaye" xr:uid="{D9534804-C67E-4F0B-B7CF-156C534C12B7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F98E-FD5C-4830-8C77-43DA0C277043}">
  <dimension ref="A1:J8"/>
  <sheetViews>
    <sheetView workbookViewId="0"/>
  </sheetViews>
  <sheetFormatPr defaultRowHeight="15" x14ac:dyDescent="0.25"/>
  <cols>
    <col min="1" max="1" width="12.7109375" customWidth="1"/>
    <col min="3" max="3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131</v>
      </c>
      <c r="C3" s="5"/>
      <c r="D3" t="s">
        <v>130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</row>
  </sheetData>
  <hyperlinks>
    <hyperlink ref="B3" location="SUMMARY!A1" display="Bro. Israel Olutola" xr:uid="{492C0A3A-B752-44A1-9CFF-490BBB0C0AAB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FD36-08AE-40EC-A0E6-D14C4C609395}">
  <dimension ref="A1:J122"/>
  <sheetViews>
    <sheetView workbookViewId="0"/>
  </sheetViews>
  <sheetFormatPr defaultRowHeight="15" x14ac:dyDescent="0.25"/>
  <cols>
    <col min="1" max="1" width="12.42578125" customWidth="1"/>
    <col min="3" max="4" width="10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135</v>
      </c>
      <c r="C3" s="5"/>
      <c r="D3" t="s">
        <v>133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45747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3">
        <v>46060</v>
      </c>
      <c r="B9" s="5"/>
      <c r="C9" s="5">
        <v>15000</v>
      </c>
      <c r="D9" s="5">
        <v>15000</v>
      </c>
      <c r="E9" s="5"/>
      <c r="F9" s="5"/>
      <c r="G9" s="5"/>
      <c r="H9" s="5"/>
      <c r="I9" s="5"/>
      <c r="J9" s="5"/>
    </row>
    <row r="10" spans="1:10" x14ac:dyDescent="0.25">
      <c r="A10" s="3">
        <v>46124</v>
      </c>
      <c r="B10" s="5"/>
      <c r="C10" s="5">
        <v>4000</v>
      </c>
      <c r="D10" s="5">
        <f>+D9+C10</f>
        <v>19000</v>
      </c>
      <c r="E10" s="5"/>
      <c r="F10" s="5"/>
      <c r="G10" s="5"/>
      <c r="H10" s="5"/>
      <c r="I10" s="5"/>
      <c r="J10" s="5"/>
    </row>
    <row r="11" spans="1:10" x14ac:dyDescent="0.25">
      <c r="A11" s="3">
        <v>46152</v>
      </c>
      <c r="B11" s="5"/>
      <c r="C11" s="5">
        <v>4000</v>
      </c>
      <c r="D11" s="5">
        <f>+D10+C11</f>
        <v>23000</v>
      </c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</sheetData>
  <hyperlinks>
    <hyperlink ref="B3" location="SUMMARY!A1" display="Sis. Deborah Leramo" xr:uid="{B116534A-E2B8-42B1-A2FB-9F1A17394504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3525-A482-4DB3-9809-B3BDA1BF2693}">
  <dimension ref="A1:J198"/>
  <sheetViews>
    <sheetView workbookViewId="0">
      <selection activeCell="B3" sqref="B3"/>
    </sheetView>
  </sheetViews>
  <sheetFormatPr defaultRowHeight="15" x14ac:dyDescent="0.25"/>
  <cols>
    <col min="1" max="1" width="11.28515625" customWidth="1"/>
    <col min="3" max="3" width="11" customWidth="1"/>
    <col min="4" max="4" width="10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132</v>
      </c>
      <c r="C3" s="5"/>
      <c r="D3" t="s">
        <v>134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3">
        <v>46060</v>
      </c>
      <c r="B9" s="5"/>
      <c r="C9" s="5">
        <v>10000</v>
      </c>
      <c r="D9" s="5">
        <f>+C9</f>
        <v>10000</v>
      </c>
      <c r="E9" s="5"/>
      <c r="F9" s="5"/>
      <c r="G9" s="5"/>
      <c r="H9" s="5"/>
      <c r="I9" s="5"/>
      <c r="J9" s="5"/>
    </row>
    <row r="10" spans="1:10" x14ac:dyDescent="0.25">
      <c r="A10" s="3">
        <v>46124</v>
      </c>
      <c r="B10" s="5"/>
      <c r="C10" s="5">
        <v>4000</v>
      </c>
      <c r="D10" s="5">
        <f>+D9+C10</f>
        <v>14000</v>
      </c>
      <c r="E10" s="5"/>
      <c r="F10" s="5"/>
      <c r="G10" s="5"/>
      <c r="H10" s="5"/>
      <c r="I10" s="5"/>
      <c r="J10" s="5"/>
    </row>
    <row r="11" spans="1:10" x14ac:dyDescent="0.25">
      <c r="A11" s="3">
        <v>46152</v>
      </c>
      <c r="B11" s="5"/>
      <c r="C11" s="5">
        <v>4000</v>
      </c>
      <c r="D11" s="5">
        <f>+D10+C11</f>
        <v>18000</v>
      </c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2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2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2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2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2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2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2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2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2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25">
      <c r="B198" s="5"/>
      <c r="C198" s="5"/>
      <c r="D198" s="5"/>
      <c r="E198" s="5"/>
      <c r="F198" s="5"/>
      <c r="G198" s="5"/>
      <c r="H198" s="5"/>
      <c r="I198" s="5"/>
      <c r="J198" s="5"/>
    </row>
  </sheetData>
  <hyperlinks>
    <hyperlink ref="B3" location="SUMMARY!A1" display="Sis. Deborah Leramo" xr:uid="{52CD5B25-78DE-4959-87F8-8149C370A265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0E31-C3AC-47E6-B99B-A5363DE64C2B}">
  <dimension ref="A1:J7"/>
  <sheetViews>
    <sheetView workbookViewId="0"/>
  </sheetViews>
  <sheetFormatPr defaultRowHeight="15" x14ac:dyDescent="0.25"/>
  <cols>
    <col min="3" max="3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144</v>
      </c>
      <c r="C3" s="5"/>
      <c r="D3" t="s">
        <v>140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</sheetData>
  <hyperlinks>
    <hyperlink ref="B3" location="SUMMARY!A1" display="Sis. Deborah Leramo" xr:uid="{FB9D907E-FB3B-441C-9A3A-297E8EF9BE5A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E67C-F210-4655-A1A2-3A4D11987ABF}">
  <dimension ref="A1:J7"/>
  <sheetViews>
    <sheetView workbookViewId="0">
      <selection activeCell="D4" sqref="D4"/>
    </sheetView>
  </sheetViews>
  <sheetFormatPr defaultRowHeight="15" x14ac:dyDescent="0.25"/>
  <cols>
    <col min="3" max="3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145</v>
      </c>
      <c r="C3" s="5"/>
      <c r="D3" t="s">
        <v>141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</sheetData>
  <hyperlinks>
    <hyperlink ref="B3" location="SUMMARY!A1" display="Sis. Deborah Leramo" xr:uid="{14208C34-AAD9-4214-83B8-6A95FB64C236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BB01-5088-487D-81CA-6DEAD55D829C}">
  <dimension ref="A1:J7"/>
  <sheetViews>
    <sheetView workbookViewId="0">
      <selection activeCell="D4" sqref="D4"/>
    </sheetView>
  </sheetViews>
  <sheetFormatPr defaultRowHeight="15" x14ac:dyDescent="0.25"/>
  <cols>
    <col min="3" max="3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146</v>
      </c>
      <c r="C3" s="5"/>
      <c r="D3" t="s">
        <v>142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</sheetData>
  <hyperlinks>
    <hyperlink ref="B3" location="SUMMARY!A1" display="Sis. Deborah Leramo" xr:uid="{B8250AF9-86DD-4305-BDD8-CB4970511315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64FE-C2AC-4BA0-9BA9-BDBAF26AF516}">
  <dimension ref="A1:J7"/>
  <sheetViews>
    <sheetView workbookViewId="0">
      <selection activeCell="B3" sqref="B3"/>
    </sheetView>
  </sheetViews>
  <sheetFormatPr defaultRowHeight="15" x14ac:dyDescent="0.25"/>
  <cols>
    <col min="3" max="3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147</v>
      </c>
      <c r="C3" s="5"/>
      <c r="D3" t="s">
        <v>143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</sheetData>
  <hyperlinks>
    <hyperlink ref="B3" location="SUMMARY!A1" display="Sis. Deborah Leramo" xr:uid="{19000563-73ED-4D35-80E5-0DE565A675F2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7F56-5DFE-42CC-9DE9-929059453A6A}">
  <dimension ref="A1:J180"/>
  <sheetViews>
    <sheetView workbookViewId="0">
      <selection activeCell="B3" sqref="B3"/>
    </sheetView>
  </sheetViews>
  <sheetFormatPr defaultRowHeight="15" x14ac:dyDescent="0.25"/>
  <cols>
    <col min="1" max="1" width="10.7109375" bestFit="1" customWidth="1"/>
    <col min="3" max="4" width="10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 t="s">
        <v>149</v>
      </c>
      <c r="C3" s="5"/>
      <c r="D3" t="s">
        <v>148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46138</v>
      </c>
      <c r="B8" s="5"/>
      <c r="C8" s="5">
        <v>8000</v>
      </c>
      <c r="D8" s="5">
        <f>+C8</f>
        <v>8000</v>
      </c>
      <c r="E8" s="5"/>
      <c r="F8" s="5"/>
      <c r="G8" s="5"/>
      <c r="H8" s="5"/>
      <c r="I8" s="5"/>
      <c r="J8" s="5"/>
    </row>
    <row r="9" spans="1:10" x14ac:dyDescent="0.25">
      <c r="A9" s="3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21" priority="1"/>
  </conditionalFormatting>
  <hyperlinks>
    <hyperlink ref="B3" location="SUMMARY!A1" display="Sis. Deborah Leramo" xr:uid="{E4E14B92-0467-41B1-9F2E-64C9F438A22B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BE85-C8CC-41E3-9E7B-758275B1C631}">
  <dimension ref="A1:J180"/>
  <sheetViews>
    <sheetView workbookViewId="0"/>
  </sheetViews>
  <sheetFormatPr defaultRowHeight="15" x14ac:dyDescent="0.25"/>
  <cols>
    <col min="1" max="1" width="10.7109375" bestFit="1" customWidth="1"/>
    <col min="2" max="2" width="10.28515625" customWidth="1"/>
    <col min="3" max="3" width="12.28515625" customWidth="1"/>
    <col min="4" max="4" width="10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t="s">
        <v>170</v>
      </c>
      <c r="C3" s="5"/>
      <c r="D3" s="19" t="s">
        <v>150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46146</v>
      </c>
      <c r="B8" s="5"/>
      <c r="C8" s="5">
        <v>3000</v>
      </c>
      <c r="D8" s="5">
        <f>+C8</f>
        <v>3000</v>
      </c>
      <c r="E8" s="5"/>
      <c r="F8" s="5"/>
      <c r="G8" s="5"/>
      <c r="H8" s="5"/>
      <c r="I8" s="5"/>
      <c r="J8" s="5"/>
    </row>
    <row r="9" spans="1:10" x14ac:dyDescent="0.25">
      <c r="A9" s="3">
        <v>46173</v>
      </c>
      <c r="B9" s="5"/>
      <c r="C9" s="5">
        <v>20000</v>
      </c>
      <c r="D9" s="5">
        <f>+D8+C9</f>
        <v>23000</v>
      </c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20" priority="1"/>
  </conditionalFormatting>
  <hyperlinks>
    <hyperlink ref="D3" location="SUMMARY!A1" display="BC61" xr:uid="{879C7519-4F5D-416B-915C-AA9A97D60C07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3818-BB2A-4848-A023-AB28FB262FCA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4" width="10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t="s">
        <v>173</v>
      </c>
      <c r="C3" s="5"/>
      <c r="D3" s="19" t="s">
        <v>151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>
        <v>2000</v>
      </c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>
        <v>46146</v>
      </c>
      <c r="B8" s="5"/>
      <c r="C8" s="5">
        <v>8000</v>
      </c>
      <c r="D8" s="5">
        <f>+C8</f>
        <v>8000</v>
      </c>
      <c r="E8" s="5"/>
      <c r="F8" s="5"/>
      <c r="G8" s="5"/>
      <c r="H8" s="5"/>
      <c r="I8" s="5"/>
      <c r="J8" s="5"/>
    </row>
    <row r="9" spans="1:10" x14ac:dyDescent="0.25">
      <c r="A9" s="3">
        <v>46172</v>
      </c>
      <c r="B9" s="5"/>
      <c r="C9" s="5">
        <v>10000</v>
      </c>
      <c r="D9" s="5">
        <f>+D8+C9</f>
        <v>18000</v>
      </c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9" priority="2"/>
  </conditionalFormatting>
  <conditionalFormatting sqref="B3">
    <cfRule type="duplicateValues" dxfId="18" priority="1"/>
  </conditionalFormatting>
  <hyperlinks>
    <hyperlink ref="D3" location="SUMMARY!A1" display="BC62" xr:uid="{60D44DB4-32D1-45CE-8961-95D83DF16673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91A3-2B35-4C30-B710-406D14CB5B13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152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7" priority="1"/>
  </conditionalFormatting>
  <hyperlinks>
    <hyperlink ref="D3" location="SUMMARY!A1" display="BC63" xr:uid="{F0811F12-4973-4BC1-B527-FBCA8490C77E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DE21-BEF3-42C0-80E3-E5B56F336BCC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153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6" priority="1"/>
  </conditionalFormatting>
  <hyperlinks>
    <hyperlink ref="D3" location="SUMMARY!A1" display="BC64" xr:uid="{9D083D68-5C4E-46E6-B00E-FC3C0395CB6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46E7-CF27-4ED6-94F8-3D7806559A12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154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5" priority="1"/>
  </conditionalFormatting>
  <hyperlinks>
    <hyperlink ref="D3" location="SUMMARY!A1" display="BC65" xr:uid="{A59D833B-38DB-4FAD-96DD-94FBC52269F2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8EF6-7C2B-4EE0-ABC0-AF1C44CF3C8E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155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4" priority="1"/>
  </conditionalFormatting>
  <hyperlinks>
    <hyperlink ref="D3" location="SUMMARY!A1" display="BC66" xr:uid="{3C1DFBEA-2FBE-4BE2-9A64-8AA98C59E794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DAA6-5DB2-44EF-ADD7-4B2D508F7F78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156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3" priority="1"/>
  </conditionalFormatting>
  <hyperlinks>
    <hyperlink ref="D3" location="SUMMARY!A1" display="BC67" xr:uid="{2A82B033-1769-4813-AB75-D72F152186BC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063E-CD18-44E8-887F-3C65B705CAFE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157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2" priority="1"/>
  </conditionalFormatting>
  <hyperlinks>
    <hyperlink ref="D3" location="SUMMARY!A1" display="BC68" xr:uid="{D51757FC-7582-4D1E-85AC-9D0DB02CD04E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525D-2D8F-4075-B695-BE44DA045C9C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158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1" priority="1"/>
  </conditionalFormatting>
  <hyperlinks>
    <hyperlink ref="D3" location="SUMMARY!A1" display="BC69" xr:uid="{560E4AAC-8F5A-4D9A-BA2E-A6A26C8EEF09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B855-1632-4C98-BD5A-E87740D5AEF2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159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0" priority="1"/>
  </conditionalFormatting>
  <hyperlinks>
    <hyperlink ref="D3" location="SUMMARY!A1" display="BC70" xr:uid="{E339430A-1EDF-443C-B0E4-DE80247B0714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650B-45A2-403B-8BF7-77672E5183C8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160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9" priority="1"/>
  </conditionalFormatting>
  <hyperlinks>
    <hyperlink ref="D3" location="SUMMARY!A1" display="BC71" xr:uid="{B936D19D-708B-49C0-8D92-71288867FE6B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5E8B-A1D6-4AA3-8540-762F118DE9F0}">
  <dimension ref="A1:J180"/>
  <sheetViews>
    <sheetView workbookViewId="0"/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161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8" priority="1"/>
  </conditionalFormatting>
  <hyperlinks>
    <hyperlink ref="D3" location="SUMMARY!A1" display="BC72" xr:uid="{10A198B7-651D-40D1-B6FF-EE4BE3367E8A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52C0-3FF0-4FC6-AF48-8D8EFD12FE0A}">
  <dimension ref="A1:J180"/>
  <sheetViews>
    <sheetView workbookViewId="0"/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162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7" priority="1"/>
  </conditionalFormatting>
  <hyperlinks>
    <hyperlink ref="D3" location="SUMMARY!A1" display="BC73" xr:uid="{84D6692A-809A-43F6-8F9B-13A9D02441A4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0B5D-9BC2-439D-846F-25A65AEEA4F9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163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6" priority="1"/>
  </conditionalFormatting>
  <hyperlinks>
    <hyperlink ref="D3" location="SUMMARY!A1" display="BC74" xr:uid="{E4968131-B878-44BD-9A61-704B12D8F6F6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9B82-574A-45E4-A279-3E1406EB63AD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164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5" priority="1"/>
  </conditionalFormatting>
  <hyperlinks>
    <hyperlink ref="D3" location="SUMMARY!A1" display="BC75" xr:uid="{41040C19-1143-4379-B871-C92D9DD75126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3CFF-7BB6-4281-85CE-141B8E7C992B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165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4" priority="1"/>
  </conditionalFormatting>
  <hyperlinks>
    <hyperlink ref="D3" location="SUMMARY!A1" display="BC76" xr:uid="{E59C816E-F2EE-455A-928C-F78BA0F44FC9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71AB-F25A-4F54-9031-4E61575D098B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166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3" priority="1"/>
  </conditionalFormatting>
  <hyperlinks>
    <hyperlink ref="D3" location="SUMMARY!A1" display="BC77" xr:uid="{0D77166E-2BEC-4091-82D4-60A3A003F07E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BF57-F961-46E3-A40E-B0CD76899485}">
  <dimension ref="A1:J180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167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2" priority="1"/>
  </conditionalFormatting>
  <hyperlinks>
    <hyperlink ref="D3" location="SUMMARY!A1" display="BC78" xr:uid="{00432C0A-D64C-47C5-B81C-8A6051672163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B552-F05B-41DE-A0C5-FD33BDEFDD53}">
  <dimension ref="A1:J180"/>
  <sheetViews>
    <sheetView workbookViewId="0"/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168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1" priority="1"/>
  </conditionalFormatting>
  <hyperlinks>
    <hyperlink ref="D3" location="SUMMARY!A1" display="BC79" xr:uid="{4C175E7E-557D-4C3E-8B23-F25F111CBC49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3500-5E1C-4E35-96DC-729B0CEF0D56}">
  <dimension ref="A1:J180"/>
  <sheetViews>
    <sheetView workbookViewId="0"/>
  </sheetViews>
  <sheetFormatPr defaultRowHeight="15" x14ac:dyDescent="0.25"/>
  <cols>
    <col min="1" max="1" width="10.7109375" bestFit="1" customWidth="1"/>
    <col min="3" max="3" width="9.7109375" bestFit="1" customWidth="1"/>
    <col min="4" max="4" width="9.5703125" bestFit="1" customWidth="1"/>
  </cols>
  <sheetData>
    <row r="1" spans="1:10" x14ac:dyDescent="0.25">
      <c r="A1" s="10" t="s">
        <v>0</v>
      </c>
      <c r="B1" s="5"/>
      <c r="C1" s="5"/>
      <c r="D1" s="5"/>
    </row>
    <row r="2" spans="1:10" x14ac:dyDescent="0.25">
      <c r="A2" s="10" t="s">
        <v>1</v>
      </c>
      <c r="B2" s="5"/>
      <c r="C2" s="5"/>
      <c r="D2" s="5"/>
    </row>
    <row r="3" spans="1:10" x14ac:dyDescent="0.25">
      <c r="A3" s="10" t="s">
        <v>2</v>
      </c>
      <c r="B3" s="19"/>
      <c r="C3" s="5"/>
      <c r="D3" s="19" t="s">
        <v>169</v>
      </c>
    </row>
    <row r="4" spans="1:10" x14ac:dyDescent="0.25">
      <c r="A4" s="10" t="s">
        <v>3</v>
      </c>
      <c r="B4" s="5"/>
      <c r="C4" s="5"/>
      <c r="D4" s="5"/>
    </row>
    <row r="5" spans="1:10" x14ac:dyDescent="0.25">
      <c r="A5" s="1" t="s">
        <v>13</v>
      </c>
      <c r="B5" s="5"/>
      <c r="C5" s="5"/>
      <c r="D5" s="5"/>
    </row>
    <row r="6" spans="1:10" x14ac:dyDescent="0.25">
      <c r="A6" t="s">
        <v>4</v>
      </c>
      <c r="B6" s="17" t="s">
        <v>5</v>
      </c>
      <c r="C6" s="17"/>
      <c r="D6" s="17"/>
      <c r="E6" s="17" t="s">
        <v>9</v>
      </c>
      <c r="F6" s="17"/>
      <c r="G6" s="17"/>
      <c r="H6" t="s">
        <v>10</v>
      </c>
    </row>
    <row r="7" spans="1:10" x14ac:dyDescent="0.25">
      <c r="B7" t="s">
        <v>6</v>
      </c>
      <c r="C7" t="s">
        <v>7</v>
      </c>
      <c r="D7" t="s">
        <v>8</v>
      </c>
      <c r="E7" t="s">
        <v>6</v>
      </c>
      <c r="F7" t="s">
        <v>7</v>
      </c>
      <c r="G7" t="s">
        <v>8</v>
      </c>
      <c r="H7" t="s">
        <v>6</v>
      </c>
      <c r="I7" t="s">
        <v>7</v>
      </c>
      <c r="J7" t="s">
        <v>8</v>
      </c>
    </row>
    <row r="8" spans="1:10" x14ac:dyDescent="0.25">
      <c r="A8" s="3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2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2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2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2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2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2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2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2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2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2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2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2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25">
      <c r="B180" s="5"/>
      <c r="C180" s="5"/>
      <c r="D180" s="5"/>
      <c r="E180" s="5"/>
      <c r="F180" s="5"/>
      <c r="G180" s="5"/>
      <c r="H180" s="5"/>
      <c r="I180" s="5"/>
      <c r="J180" s="5"/>
    </row>
  </sheetData>
  <conditionalFormatting sqref="L3">
    <cfRule type="duplicateValues" dxfId="0" priority="1"/>
  </conditionalFormatting>
  <hyperlinks>
    <hyperlink ref="D3" location="SUMMARY!A1" display="BC80" xr:uid="{A2A715E4-2228-4DC8-B768-AFB42326F5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81</vt:i4>
      </vt:variant>
      <vt:variant>
        <vt:lpstr>Named Ranges</vt:lpstr>
      </vt:variant>
      <vt:variant>
        <vt:i4>2</vt:i4>
      </vt:variant>
    </vt:vector>
  </HeadingPairs>
  <TitlesOfParts>
    <vt:vector size="83" baseType="lpstr">
      <vt:lpstr>SUMMARY</vt:lpstr>
      <vt:lpstr>NO 1</vt:lpstr>
      <vt:lpstr>NO 2</vt:lpstr>
      <vt:lpstr>No 3</vt:lpstr>
      <vt:lpstr>No 4</vt:lpstr>
      <vt:lpstr>NO 5</vt:lpstr>
      <vt:lpstr>NO 6</vt:lpstr>
      <vt:lpstr>NO 7</vt:lpstr>
      <vt:lpstr>NO 8</vt:lpstr>
      <vt:lpstr>NO 9</vt:lpstr>
      <vt:lpstr>NO 10</vt:lpstr>
      <vt:lpstr>NO 11</vt:lpstr>
      <vt:lpstr>NO 12</vt:lpstr>
      <vt:lpstr>NO 13</vt:lpstr>
      <vt:lpstr>NO 14</vt:lpstr>
      <vt:lpstr>NO 15</vt:lpstr>
      <vt:lpstr>NO 16</vt:lpstr>
      <vt:lpstr>NO 17</vt:lpstr>
      <vt:lpstr>NO 18</vt:lpstr>
      <vt:lpstr>NO 19</vt:lpstr>
      <vt:lpstr>NO 20</vt:lpstr>
      <vt:lpstr>NO 21</vt:lpstr>
      <vt:lpstr>NO 22</vt:lpstr>
      <vt:lpstr>NO 23</vt:lpstr>
      <vt:lpstr>NO 24</vt:lpstr>
      <vt:lpstr>NO 25</vt:lpstr>
      <vt:lpstr>NO 26</vt:lpstr>
      <vt:lpstr>NO 27</vt:lpstr>
      <vt:lpstr>NO 28</vt:lpstr>
      <vt:lpstr>NO 29</vt:lpstr>
      <vt:lpstr>NO 30</vt:lpstr>
      <vt:lpstr>NO 31</vt:lpstr>
      <vt:lpstr>NO 32</vt:lpstr>
      <vt:lpstr>NO 33</vt:lpstr>
      <vt:lpstr>NO 34</vt:lpstr>
      <vt:lpstr>NO 35</vt:lpstr>
      <vt:lpstr>NO 36</vt:lpstr>
      <vt:lpstr>NO 37</vt:lpstr>
      <vt:lpstr>NO 38</vt:lpstr>
      <vt:lpstr>NO 39</vt:lpstr>
      <vt:lpstr>NO 40</vt:lpstr>
      <vt:lpstr>NO 41</vt:lpstr>
      <vt:lpstr>NO 42</vt:lpstr>
      <vt:lpstr>NO 43</vt:lpstr>
      <vt:lpstr>NO 44</vt:lpstr>
      <vt:lpstr>NO 45</vt:lpstr>
      <vt:lpstr>NO 46</vt:lpstr>
      <vt:lpstr>NO 47</vt:lpstr>
      <vt:lpstr>NO 48</vt:lpstr>
      <vt:lpstr>NO 49</vt:lpstr>
      <vt:lpstr>NO 50</vt:lpstr>
      <vt:lpstr>NO 51</vt:lpstr>
      <vt:lpstr>NO 52</vt:lpstr>
      <vt:lpstr>NO 53</vt:lpstr>
      <vt:lpstr>NO 54</vt:lpstr>
      <vt:lpstr>NO 55</vt:lpstr>
      <vt:lpstr>NO 56</vt:lpstr>
      <vt:lpstr>NO 57</vt:lpstr>
      <vt:lpstr>NO 58</vt:lpstr>
      <vt:lpstr>NO 59</vt:lpstr>
      <vt:lpstr>NO 60</vt:lpstr>
      <vt:lpstr>NO 61</vt:lpstr>
      <vt:lpstr>NO 62</vt:lpstr>
      <vt:lpstr>NO 63</vt:lpstr>
      <vt:lpstr>NO 64</vt:lpstr>
      <vt:lpstr>NO 65</vt:lpstr>
      <vt:lpstr>NO 66</vt:lpstr>
      <vt:lpstr>NO 67</vt:lpstr>
      <vt:lpstr>NO 68</vt:lpstr>
      <vt:lpstr>NO 69</vt:lpstr>
      <vt:lpstr>NO 70</vt:lpstr>
      <vt:lpstr>NO 71</vt:lpstr>
      <vt:lpstr>NO 72</vt:lpstr>
      <vt:lpstr>NO 73</vt:lpstr>
      <vt:lpstr>NO 74</vt:lpstr>
      <vt:lpstr>NO 75</vt:lpstr>
      <vt:lpstr>NO 76</vt:lpstr>
      <vt:lpstr>NO 77</vt:lpstr>
      <vt:lpstr>NO 78</vt:lpstr>
      <vt:lpstr>NO 79</vt:lpstr>
      <vt:lpstr>NO 80</vt:lpstr>
      <vt:lpstr>Elder_A.E._Obakpe</vt:lpstr>
      <vt:lpstr>Obakpe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 Adeagbo</dc:creator>
  <cp:lastModifiedBy>Adewale Adeagbo</cp:lastModifiedBy>
  <cp:lastPrinted>2022-11-25T14:41:20Z</cp:lastPrinted>
  <dcterms:created xsi:type="dcterms:W3CDTF">2022-04-06T15:41:32Z</dcterms:created>
  <dcterms:modified xsi:type="dcterms:W3CDTF">2026-06-05T10:50:41Z</dcterms:modified>
</cp:coreProperties>
</file>